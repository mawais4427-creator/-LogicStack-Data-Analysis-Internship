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6215" windowHeight="7950" firstSheet="3" activeTab="3"/>
  </bookViews>
  <sheets>
    <sheet name="retail_sales_dataset" sheetId="1" r:id="rId1"/>
    <sheet name="Dataset Understanding" sheetId="2" r:id="rId2"/>
    <sheet name="Cleaned Data" sheetId="3" r:id="rId3"/>
    <sheet name="Data Quality Check" sheetId="4" r:id="rId4"/>
    <sheet name="Basic Analysis" sheetId="5" r:id="rId5"/>
    <sheet name="sorting filter screenshort" sheetId="6" r:id="rId6"/>
    <sheet name="Charts" sheetId="7" r:id="rId7"/>
    <sheet name="Observation" sheetId="8" r:id="rId8"/>
  </sheets>
  <calcPr calcId="124519"/>
</workbook>
</file>

<file path=xl/calcChain.xml><?xml version="1.0" encoding="utf-8"?>
<calcChain xmlns="http://schemas.openxmlformats.org/spreadsheetml/2006/main">
  <c r="D35" i="5"/>
  <c r="D34"/>
  <c r="D33"/>
  <c r="D42"/>
  <c r="D43"/>
  <c r="D25"/>
  <c r="D24"/>
  <c r="D23"/>
  <c r="E12"/>
  <c r="E11"/>
  <c r="E10"/>
  <c r="E9"/>
  <c r="E8"/>
  <c r="E7"/>
  <c r="E6"/>
  <c r="E5"/>
  <c r="E4"/>
  <c r="E3"/>
  <c r="I340" i="3"/>
  <c r="K340" s="1"/>
  <c r="I175"/>
  <c r="K175" s="1"/>
  <c r="I686"/>
  <c r="K686" s="1"/>
  <c r="I399"/>
  <c r="K399" s="1"/>
  <c r="I266"/>
  <c r="K266" s="1"/>
  <c r="I574"/>
  <c r="K574" s="1"/>
  <c r="I598"/>
  <c r="K598" s="1"/>
  <c r="I267"/>
  <c r="K267" s="1"/>
  <c r="I960"/>
  <c r="K960" s="1"/>
  <c r="I725"/>
  <c r="K725" s="1"/>
  <c r="I123"/>
  <c r="K123" s="1"/>
  <c r="I370"/>
  <c r="K370" s="1"/>
  <c r="I87"/>
  <c r="K87" s="1"/>
  <c r="I982"/>
  <c r="K982" s="1"/>
  <c r="I489"/>
  <c r="K489" s="1"/>
  <c r="I25"/>
  <c r="K25" s="1"/>
  <c r="I204"/>
  <c r="K204" s="1"/>
  <c r="I624"/>
  <c r="K624" s="1"/>
  <c r="I944"/>
  <c r="K944" s="1"/>
  <c r="I92"/>
  <c r="K92" s="1"/>
  <c r="I673"/>
  <c r="K673" s="1"/>
  <c r="I13"/>
  <c r="K13" s="1"/>
  <c r="I366"/>
  <c r="K366" s="1"/>
  <c r="I651"/>
  <c r="K651" s="1"/>
  <c r="I993"/>
  <c r="K993" s="1"/>
  <c r="I221"/>
  <c r="K221" s="1"/>
  <c r="I423"/>
  <c r="K423" s="1"/>
  <c r="I527"/>
  <c r="K527" s="1"/>
  <c r="I509"/>
  <c r="K509" s="1"/>
  <c r="I427"/>
  <c r="K427" s="1"/>
  <c r="I548"/>
  <c r="K548" s="1"/>
  <c r="I269"/>
  <c r="K269" s="1"/>
  <c r="I678"/>
  <c r="K678" s="1"/>
  <c r="I703"/>
  <c r="K703" s="1"/>
  <c r="I859"/>
  <c r="K859" s="1"/>
  <c r="I722"/>
  <c r="K722" s="1"/>
  <c r="I17"/>
  <c r="K17" s="1"/>
  <c r="I418"/>
  <c r="K418" s="1"/>
  <c r="I122"/>
  <c r="K122" s="1"/>
  <c r="I572"/>
  <c r="K572" s="1"/>
  <c r="I348"/>
  <c r="K348" s="1"/>
  <c r="I93"/>
  <c r="K93" s="1"/>
  <c r="I635"/>
  <c r="K635" s="1"/>
  <c r="I111"/>
  <c r="K111" s="1"/>
  <c r="I803"/>
  <c r="K803" s="1"/>
  <c r="I45"/>
  <c r="K45" s="1"/>
  <c r="I444"/>
  <c r="K444" s="1"/>
  <c r="I762"/>
  <c r="K762" s="1"/>
  <c r="I761"/>
  <c r="K761" s="1"/>
  <c r="I207"/>
  <c r="K207" s="1"/>
  <c r="I208"/>
  <c r="K208" s="1"/>
  <c r="I382"/>
  <c r="K382" s="1"/>
  <c r="I342"/>
  <c r="K342" s="1"/>
  <c r="I408"/>
  <c r="K408" s="1"/>
  <c r="I289"/>
  <c r="K289" s="1"/>
  <c r="I178"/>
  <c r="K178" s="1"/>
  <c r="I970"/>
  <c r="K970" s="1"/>
  <c r="I5"/>
  <c r="K5" s="1"/>
  <c r="I945"/>
  <c r="K945" s="1"/>
  <c r="I263"/>
  <c r="K263" s="1"/>
  <c r="I76"/>
  <c r="K76" s="1"/>
  <c r="I14"/>
  <c r="K14" s="1"/>
  <c r="I845"/>
  <c r="K845" s="1"/>
  <c r="I657"/>
  <c r="K657" s="1"/>
  <c r="I689"/>
  <c r="K689" s="1"/>
  <c r="I575"/>
  <c r="K575" s="1"/>
  <c r="I630"/>
  <c r="K630" s="1"/>
  <c r="I158"/>
  <c r="K158" s="1"/>
  <c r="I823"/>
  <c r="K823" s="1"/>
  <c r="I528"/>
  <c r="K528" s="1"/>
  <c r="I711"/>
  <c r="K711" s="1"/>
  <c r="I44"/>
  <c r="K44" s="1"/>
  <c r="I248"/>
  <c r="K248" s="1"/>
  <c r="I3"/>
  <c r="K3" s="1"/>
  <c r="I915"/>
  <c r="K915" s="1"/>
  <c r="I98"/>
  <c r="K98" s="1"/>
  <c r="I616"/>
  <c r="K616" s="1"/>
  <c r="I604"/>
  <c r="K604" s="1"/>
  <c r="I337"/>
  <c r="K337" s="1"/>
  <c r="I991"/>
  <c r="K991" s="1"/>
  <c r="I460"/>
  <c r="K460" s="1"/>
  <c r="I303"/>
  <c r="K303" s="1"/>
  <c r="I772"/>
  <c r="K772" s="1"/>
  <c r="I420"/>
  <c r="K420" s="1"/>
  <c r="I288"/>
  <c r="K288" s="1"/>
  <c r="I36"/>
  <c r="K36" s="1"/>
  <c r="I226"/>
  <c r="K226" s="1"/>
  <c r="I813"/>
  <c r="K813" s="1"/>
  <c r="I786"/>
  <c r="K786" s="1"/>
  <c r="I717"/>
  <c r="K717" s="1"/>
  <c r="I793"/>
  <c r="K793" s="1"/>
  <c r="I709"/>
  <c r="K709" s="1"/>
  <c r="I354"/>
  <c r="K354" s="1"/>
  <c r="I607"/>
  <c r="K607" s="1"/>
  <c r="I308"/>
  <c r="K308" s="1"/>
  <c r="I549"/>
  <c r="K549" s="1"/>
  <c r="I694"/>
  <c r="K694" s="1"/>
  <c r="I799"/>
  <c r="K799" s="1"/>
  <c r="I668"/>
  <c r="K668" s="1"/>
  <c r="I485"/>
  <c r="K485" s="1"/>
  <c r="I300"/>
  <c r="K300" s="1"/>
  <c r="I625"/>
  <c r="K625" s="1"/>
  <c r="I885"/>
  <c r="K885" s="1"/>
  <c r="I334"/>
  <c r="K334" s="1"/>
  <c r="I94"/>
  <c r="K94" s="1"/>
  <c r="I599"/>
  <c r="K599" s="1"/>
  <c r="I69"/>
  <c r="K69" s="1"/>
  <c r="I209"/>
  <c r="K209" s="1"/>
  <c r="I327"/>
  <c r="K327" s="1"/>
  <c r="I196"/>
  <c r="K196" s="1"/>
  <c r="I329"/>
  <c r="K329" s="1"/>
  <c r="I391"/>
  <c r="K391" s="1"/>
  <c r="I480"/>
  <c r="K480" s="1"/>
  <c r="I99"/>
  <c r="K99" s="1"/>
  <c r="I691"/>
  <c r="K691" s="1"/>
  <c r="I134"/>
  <c r="K134" s="1"/>
  <c r="I30"/>
  <c r="K30" s="1"/>
  <c r="I253"/>
  <c r="K253" s="1"/>
  <c r="I898"/>
  <c r="K898" s="1"/>
  <c r="I904"/>
  <c r="K904" s="1"/>
  <c r="I223"/>
  <c r="K223" s="1"/>
  <c r="I983"/>
  <c r="K983" s="1"/>
  <c r="I459"/>
  <c r="K459" s="1"/>
  <c r="I316"/>
  <c r="K316" s="1"/>
  <c r="I639"/>
  <c r="K639" s="1"/>
  <c r="I229"/>
  <c r="K229" s="1"/>
  <c r="I324"/>
  <c r="K324" s="1"/>
  <c r="I156"/>
  <c r="K156" s="1"/>
  <c r="I72"/>
  <c r="K72" s="1"/>
  <c r="I832"/>
  <c r="K832" s="1"/>
  <c r="I73"/>
  <c r="K73" s="1"/>
  <c r="I495"/>
  <c r="K495" s="1"/>
  <c r="I48"/>
  <c r="K48" s="1"/>
  <c r="I664"/>
  <c r="K664" s="1"/>
  <c r="I56"/>
  <c r="K56" s="1"/>
  <c r="I550"/>
  <c r="K550" s="1"/>
  <c r="I583"/>
  <c r="K583" s="1"/>
  <c r="I653"/>
  <c r="K653" s="1"/>
  <c r="I376"/>
  <c r="K376" s="1"/>
  <c r="I424"/>
  <c r="K424" s="1"/>
  <c r="I103"/>
  <c r="K103" s="1"/>
  <c r="I356"/>
  <c r="K356" s="1"/>
  <c r="I573"/>
  <c r="K573" s="1"/>
  <c r="I872"/>
  <c r="K872" s="1"/>
  <c r="I437"/>
  <c r="K437" s="1"/>
  <c r="I417"/>
  <c r="K417" s="1"/>
  <c r="I118"/>
  <c r="K118" s="1"/>
  <c r="I20"/>
  <c r="K20" s="1"/>
  <c r="I102"/>
  <c r="K102" s="1"/>
  <c r="I864"/>
  <c r="K864" s="1"/>
  <c r="I251"/>
  <c r="K251" s="1"/>
  <c r="I516"/>
  <c r="K516" s="1"/>
  <c r="I958"/>
  <c r="K958" s="1"/>
  <c r="I696"/>
  <c r="K696" s="1"/>
  <c r="I276"/>
  <c r="K276" s="1"/>
  <c r="I538"/>
  <c r="K538" s="1"/>
  <c r="I927"/>
  <c r="K927" s="1"/>
  <c r="I551"/>
  <c r="K551" s="1"/>
  <c r="I184"/>
  <c r="K184" s="1"/>
  <c r="I539"/>
  <c r="K539" s="1"/>
  <c r="I973"/>
  <c r="K973" s="1"/>
  <c r="I439"/>
  <c r="K439" s="1"/>
  <c r="I980"/>
  <c r="K980" s="1"/>
  <c r="I605"/>
  <c r="K605" s="1"/>
  <c r="I888"/>
  <c r="K888" s="1"/>
  <c r="I326"/>
  <c r="K326" s="1"/>
  <c r="I532"/>
  <c r="K532" s="1"/>
  <c r="I747"/>
  <c r="K747" s="1"/>
  <c r="I4"/>
  <c r="K4" s="1"/>
  <c r="I168"/>
  <c r="K168" s="1"/>
  <c r="I720"/>
  <c r="K720" s="1"/>
  <c r="I309"/>
  <c r="K309" s="1"/>
  <c r="I984"/>
  <c r="K984" s="1"/>
  <c r="I430"/>
  <c r="K430" s="1"/>
  <c r="I291"/>
  <c r="K291" s="1"/>
  <c r="I540"/>
  <c r="K540" s="1"/>
  <c r="I566"/>
  <c r="K566" s="1"/>
  <c r="I458"/>
  <c r="K458" s="1"/>
  <c r="I284"/>
  <c r="K284" s="1"/>
  <c r="I469"/>
  <c r="K469" s="1"/>
  <c r="I29"/>
  <c r="K29" s="1"/>
  <c r="I937"/>
  <c r="K937" s="1"/>
  <c r="I522"/>
  <c r="K522" s="1"/>
  <c r="I286"/>
  <c r="K286" s="1"/>
  <c r="I149"/>
  <c r="K149" s="1"/>
  <c r="I51"/>
  <c r="K51" s="1"/>
  <c r="I986"/>
  <c r="K986" s="1"/>
  <c r="I455"/>
  <c r="K455" s="1"/>
  <c r="I968"/>
  <c r="K968" s="1"/>
  <c r="I903"/>
  <c r="K903" s="1"/>
  <c r="I999"/>
  <c r="K999" s="1"/>
  <c r="I939"/>
  <c r="K939" s="1"/>
  <c r="I355"/>
  <c r="K355" s="1"/>
  <c r="I795"/>
  <c r="K795" s="1"/>
  <c r="I740"/>
  <c r="K740" s="1"/>
  <c r="I298"/>
  <c r="K298" s="1"/>
  <c r="I494"/>
  <c r="K494" s="1"/>
  <c r="I763"/>
  <c r="K763" s="1"/>
  <c r="I562"/>
  <c r="K562" s="1"/>
  <c r="I203"/>
  <c r="K203" s="1"/>
  <c r="I825"/>
  <c r="K825" s="1"/>
  <c r="I331"/>
  <c r="K331" s="1"/>
  <c r="I810"/>
  <c r="K810" s="1"/>
  <c r="I443"/>
  <c r="K443" s="1"/>
  <c r="I545"/>
  <c r="K545" s="1"/>
  <c r="I925"/>
  <c r="K925" s="1"/>
  <c r="I506"/>
  <c r="K506" s="1"/>
  <c r="I338"/>
  <c r="K338" s="1"/>
  <c r="I261"/>
  <c r="K261" s="1"/>
  <c r="I400"/>
  <c r="K400" s="1"/>
  <c r="I491"/>
  <c r="K491" s="1"/>
  <c r="I66"/>
  <c r="K66" s="1"/>
  <c r="I194"/>
  <c r="K194" s="1"/>
  <c r="I54"/>
  <c r="K54" s="1"/>
  <c r="I856"/>
  <c r="K856" s="1"/>
  <c r="I940"/>
  <c r="K940" s="1"/>
  <c r="I363"/>
  <c r="K363" s="1"/>
  <c r="I990"/>
  <c r="K990" s="1"/>
  <c r="I755"/>
  <c r="K755" s="1"/>
  <c r="I975"/>
  <c r="K975" s="1"/>
  <c r="I428"/>
  <c r="K428" s="1"/>
  <c r="I708"/>
  <c r="K708" s="1"/>
  <c r="I1001"/>
  <c r="K1001" s="1"/>
  <c r="I169"/>
  <c r="K169" s="1"/>
  <c r="I841"/>
  <c r="K841" s="1"/>
  <c r="I923"/>
  <c r="K923" s="1"/>
  <c r="I387"/>
  <c r="K387" s="1"/>
  <c r="I882"/>
  <c r="K882" s="1"/>
  <c r="I865"/>
  <c r="K865" s="1"/>
  <c r="I783"/>
  <c r="K783" s="1"/>
  <c r="I120"/>
  <c r="K120" s="1"/>
  <c r="I544"/>
  <c r="K544" s="1"/>
  <c r="I698"/>
  <c r="K698" s="1"/>
  <c r="I946"/>
  <c r="K946" s="1"/>
  <c r="I116"/>
  <c r="K116" s="1"/>
  <c r="I785"/>
  <c r="K785" s="1"/>
  <c r="I669"/>
  <c r="K669" s="1"/>
  <c r="I429"/>
  <c r="K429" s="1"/>
  <c r="I409"/>
  <c r="K409" s="1"/>
  <c r="I119"/>
  <c r="K119" s="1"/>
  <c r="I127"/>
  <c r="K127" s="1"/>
  <c r="I84"/>
  <c r="K84" s="1"/>
  <c r="I610"/>
  <c r="K610" s="1"/>
  <c r="I227"/>
  <c r="K227" s="1"/>
  <c r="I621"/>
  <c r="K621" s="1"/>
  <c r="I643"/>
  <c r="K643" s="1"/>
  <c r="I479"/>
  <c r="K479" s="1"/>
  <c r="I179"/>
  <c r="K179" s="1"/>
  <c r="I60"/>
  <c r="K60" s="1"/>
  <c r="I644"/>
  <c r="K644" s="1"/>
  <c r="I835"/>
  <c r="K835" s="1"/>
  <c r="I766"/>
  <c r="K766" s="1"/>
  <c r="I741"/>
  <c r="K741" s="1"/>
  <c r="I472"/>
  <c r="K472" s="1"/>
  <c r="I646"/>
  <c r="K646" s="1"/>
  <c r="I114"/>
  <c r="K114" s="1"/>
  <c r="I23"/>
  <c r="K23" s="1"/>
  <c r="I406"/>
  <c r="K406" s="1"/>
  <c r="I565"/>
  <c r="K565" s="1"/>
  <c r="I234"/>
  <c r="K234" s="1"/>
  <c r="I82"/>
  <c r="K82" s="1"/>
  <c r="I305"/>
  <c r="K305" s="1"/>
  <c r="I131"/>
  <c r="K131" s="1"/>
  <c r="I609"/>
  <c r="K609" s="1"/>
  <c r="I789"/>
  <c r="K789" s="1"/>
  <c r="I39"/>
  <c r="K39" s="1"/>
  <c r="I307"/>
  <c r="K307" s="1"/>
  <c r="I235"/>
  <c r="K235" s="1"/>
  <c r="I151"/>
  <c r="K151" s="1"/>
  <c r="I529"/>
  <c r="K529" s="1"/>
  <c r="I938"/>
  <c r="K938" s="1"/>
  <c r="I917"/>
  <c r="K917" s="1"/>
  <c r="I104"/>
  <c r="K104" s="1"/>
  <c r="I115"/>
  <c r="K115" s="1"/>
  <c r="I521"/>
  <c r="K521" s="1"/>
  <c r="I78"/>
  <c r="K78" s="1"/>
  <c r="I386"/>
  <c r="K386" s="1"/>
  <c r="I404"/>
  <c r="K404" s="1"/>
  <c r="I672"/>
  <c r="K672" s="1"/>
  <c r="I392"/>
  <c r="K392" s="1"/>
  <c r="I237"/>
  <c r="K237" s="1"/>
  <c r="I979"/>
  <c r="K979" s="1"/>
  <c r="I8"/>
  <c r="K8" s="1"/>
  <c r="I530"/>
  <c r="K530" s="1"/>
  <c r="I296"/>
  <c r="K296" s="1"/>
  <c r="I801"/>
  <c r="K801" s="1"/>
  <c r="I771"/>
  <c r="K771" s="1"/>
  <c r="I225"/>
  <c r="K225" s="1"/>
  <c r="I756"/>
  <c r="K756" s="1"/>
  <c r="I258"/>
  <c r="K258" s="1"/>
  <c r="I895"/>
  <c r="K895" s="1"/>
  <c r="I46"/>
  <c r="K46" s="1"/>
  <c r="I682"/>
  <c r="K682" s="1"/>
  <c r="I126"/>
  <c r="K126" s="1"/>
  <c r="I197"/>
  <c r="K197" s="1"/>
  <c r="I88"/>
  <c r="K88" s="1"/>
  <c r="I447"/>
  <c r="K447" s="1"/>
  <c r="I195"/>
  <c r="K195" s="1"/>
  <c r="I910"/>
  <c r="K910" s="1"/>
  <c r="I34"/>
  <c r="K34" s="1"/>
  <c r="I264"/>
  <c r="K264" s="1"/>
  <c r="I831"/>
  <c r="K831" s="1"/>
  <c r="I37"/>
  <c r="K37" s="1"/>
  <c r="I405"/>
  <c r="K405" s="1"/>
  <c r="I22"/>
  <c r="K22" s="1"/>
  <c r="I779"/>
  <c r="K779" s="1"/>
  <c r="I189"/>
  <c r="K189" s="1"/>
  <c r="I332"/>
  <c r="K332" s="1"/>
  <c r="I192"/>
  <c r="K192" s="1"/>
  <c r="I236"/>
  <c r="K236" s="1"/>
  <c r="I306"/>
  <c r="K306" s="1"/>
  <c r="I474"/>
  <c r="K474" s="1"/>
  <c r="I787"/>
  <c r="K787" s="1"/>
  <c r="I731"/>
  <c r="K731" s="1"/>
  <c r="I623"/>
  <c r="K623" s="1"/>
  <c r="I645"/>
  <c r="K645" s="1"/>
  <c r="I101"/>
  <c r="K101" s="1"/>
  <c r="I926"/>
  <c r="K926" s="1"/>
  <c r="I279"/>
  <c r="K279" s="1"/>
  <c r="I218"/>
  <c r="K218" s="1"/>
  <c r="I190"/>
  <c r="K190" s="1"/>
  <c r="I699"/>
  <c r="K699" s="1"/>
  <c r="I239"/>
  <c r="K239" s="1"/>
  <c r="I727"/>
  <c r="K727" s="1"/>
  <c r="I737"/>
  <c r="K737" s="1"/>
  <c r="I19"/>
  <c r="K19" s="1"/>
  <c r="I838"/>
  <c r="K838" s="1"/>
  <c r="I433"/>
  <c r="K433" s="1"/>
  <c r="I593"/>
  <c r="K593" s="1"/>
  <c r="I162"/>
  <c r="K162" s="1"/>
  <c r="I230"/>
  <c r="K230" s="1"/>
  <c r="I857"/>
  <c r="K857" s="1"/>
  <c r="I760"/>
  <c r="K760" s="1"/>
  <c r="I278"/>
  <c r="K278" s="1"/>
  <c r="I613"/>
  <c r="K613" s="1"/>
  <c r="I728"/>
  <c r="K728" s="1"/>
  <c r="I415"/>
  <c r="K415" s="1"/>
  <c r="I773"/>
  <c r="K773" s="1"/>
  <c r="I105"/>
  <c r="K105" s="1"/>
  <c r="I378"/>
  <c r="K378" s="1"/>
  <c r="I285"/>
  <c r="K285" s="1"/>
  <c r="I515"/>
  <c r="K515" s="1"/>
  <c r="I80"/>
  <c r="K80" s="1"/>
  <c r="I510"/>
  <c r="K510" s="1"/>
  <c r="I951"/>
  <c r="K951" s="1"/>
  <c r="I873"/>
  <c r="K873" s="1"/>
  <c r="I514"/>
  <c r="K514" s="1"/>
  <c r="I361"/>
  <c r="K361" s="1"/>
  <c r="I846"/>
  <c r="K846" s="1"/>
  <c r="I166"/>
  <c r="K166" s="1"/>
  <c r="I822"/>
  <c r="K822" s="1"/>
  <c r="I830"/>
  <c r="K830" s="1"/>
  <c r="I280"/>
  <c r="K280" s="1"/>
  <c r="I654"/>
  <c r="K654" s="1"/>
  <c r="I794"/>
  <c r="K794" s="1"/>
  <c r="I666"/>
  <c r="K666" s="1"/>
  <c r="I456"/>
  <c r="K456" s="1"/>
  <c r="I302"/>
  <c r="K302" s="1"/>
  <c r="I685"/>
  <c r="K685" s="1"/>
  <c r="I498"/>
  <c r="K498" s="1"/>
  <c r="I333"/>
  <c r="K333" s="1"/>
  <c r="I688"/>
  <c r="K688" s="1"/>
  <c r="I1000"/>
  <c r="K1000" s="1"/>
  <c r="I33"/>
  <c r="K33" s="1"/>
  <c r="I282"/>
  <c r="K282" s="1"/>
  <c r="I840"/>
  <c r="K840" s="1"/>
  <c r="I847"/>
  <c r="K847" s="1"/>
  <c r="I809"/>
  <c r="K809" s="1"/>
  <c r="I112"/>
  <c r="K112" s="1"/>
  <c r="I132"/>
  <c r="K132" s="1"/>
  <c r="I64"/>
  <c r="K64" s="1"/>
  <c r="I136"/>
  <c r="K136" s="1"/>
  <c r="I155"/>
  <c r="K155" s="1"/>
  <c r="I880"/>
  <c r="K880" s="1"/>
  <c r="I312"/>
  <c r="K312" s="1"/>
  <c r="I997"/>
  <c r="K997" s="1"/>
  <c r="I590"/>
  <c r="K590" s="1"/>
  <c r="I674"/>
  <c r="K674" s="1"/>
  <c r="I628"/>
  <c r="K628" s="1"/>
  <c r="I812"/>
  <c r="K812" s="1"/>
  <c r="I552"/>
  <c r="K552" s="1"/>
  <c r="I744"/>
  <c r="K744" s="1"/>
  <c r="I595"/>
  <c r="K595" s="1"/>
  <c r="I791"/>
  <c r="K791" s="1"/>
  <c r="I667"/>
  <c r="K667" s="1"/>
  <c r="I764"/>
  <c r="K764" s="1"/>
  <c r="I558"/>
  <c r="K558" s="1"/>
  <c r="I687"/>
  <c r="K687" s="1"/>
  <c r="I83"/>
  <c r="K83" s="1"/>
  <c r="I434"/>
  <c r="K434" s="1"/>
  <c r="I40"/>
  <c r="K40" s="1"/>
  <c r="I198"/>
  <c r="K198" s="1"/>
  <c r="I90"/>
  <c r="K90" s="1"/>
  <c r="I199"/>
  <c r="K199" s="1"/>
  <c r="I670"/>
  <c r="K670" s="1"/>
  <c r="I804"/>
  <c r="K804" s="1"/>
  <c r="I273"/>
  <c r="K273" s="1"/>
  <c r="I633"/>
  <c r="K633" s="1"/>
  <c r="I992"/>
  <c r="K992" s="1"/>
  <c r="I750"/>
  <c r="K750" s="1"/>
  <c r="I931"/>
  <c r="K931" s="1"/>
  <c r="I471"/>
  <c r="K471" s="1"/>
  <c r="I301"/>
  <c r="K301" s="1"/>
  <c r="I584"/>
  <c r="K584" s="1"/>
  <c r="I153"/>
  <c r="K153" s="1"/>
  <c r="I100"/>
  <c r="K100" s="1"/>
  <c r="I585"/>
  <c r="K585" s="1"/>
  <c r="I976"/>
  <c r="K976" s="1"/>
  <c r="I71"/>
  <c r="K71" s="1"/>
  <c r="I245"/>
  <c r="K245" s="1"/>
  <c r="I933"/>
  <c r="K933" s="1"/>
  <c r="I24"/>
  <c r="K24" s="1"/>
  <c r="I555"/>
  <c r="K555" s="1"/>
  <c r="I640"/>
  <c r="K640" s="1"/>
  <c r="I757"/>
  <c r="K757" s="1"/>
  <c r="I742"/>
  <c r="K742" s="1"/>
  <c r="I523"/>
  <c r="K523" s="1"/>
  <c r="I890"/>
  <c r="K890" s="1"/>
  <c r="I554"/>
  <c r="K554" s="1"/>
  <c r="I85"/>
  <c r="K85" s="1"/>
  <c r="I393"/>
  <c r="K393" s="1"/>
  <c r="I232"/>
  <c r="K232" s="1"/>
  <c r="I215"/>
  <c r="K215" s="1"/>
  <c r="I826"/>
  <c r="K826" s="1"/>
  <c r="I796"/>
  <c r="K796" s="1"/>
  <c r="I121"/>
  <c r="K121" s="1"/>
  <c r="I170"/>
  <c r="K170" s="1"/>
  <c r="I453"/>
  <c r="K453" s="1"/>
  <c r="I994"/>
  <c r="K994" s="1"/>
  <c r="I524"/>
  <c r="K524" s="1"/>
  <c r="I956"/>
  <c r="K956" s="1"/>
  <c r="I891"/>
  <c r="K891" s="1"/>
  <c r="I243"/>
  <c r="K243" s="1"/>
  <c r="I543"/>
  <c r="K543" s="1"/>
  <c r="I256"/>
  <c r="K256" s="1"/>
  <c r="I839"/>
  <c r="K839" s="1"/>
  <c r="I357"/>
  <c r="K357" s="1"/>
  <c r="I513"/>
  <c r="K513" s="1"/>
  <c r="I683"/>
  <c r="K683" s="1"/>
  <c r="I974"/>
  <c r="K974" s="1"/>
  <c r="I827"/>
  <c r="K827" s="1"/>
  <c r="I901"/>
  <c r="K901" s="1"/>
  <c r="I240"/>
  <c r="K240" s="1"/>
  <c r="I921"/>
  <c r="K921" s="1"/>
  <c r="I748"/>
  <c r="K748" s="1"/>
  <c r="I81"/>
  <c r="K81" s="1"/>
  <c r="I86"/>
  <c r="K86" s="1"/>
  <c r="I778"/>
  <c r="K778" s="1"/>
  <c r="I163"/>
  <c r="K163" s="1"/>
  <c r="I884"/>
  <c r="K884" s="1"/>
  <c r="I576"/>
  <c r="K576" s="1"/>
  <c r="I629"/>
  <c r="K629" s="1"/>
  <c r="I176"/>
  <c r="K176" s="1"/>
  <c r="I601"/>
  <c r="K601" s="1"/>
  <c r="I292"/>
  <c r="K292" s="1"/>
  <c r="I843"/>
  <c r="K843" s="1"/>
  <c r="I860"/>
  <c r="K860" s="1"/>
  <c r="I435"/>
  <c r="K435" s="1"/>
  <c r="I216"/>
  <c r="K216" s="1"/>
  <c r="I461"/>
  <c r="K461" s="1"/>
  <c r="I7"/>
  <c r="K7" s="1"/>
  <c r="I957"/>
  <c r="K957" s="1"/>
  <c r="I759"/>
  <c r="K759" s="1"/>
  <c r="I414"/>
  <c r="K414" s="1"/>
  <c r="I533"/>
  <c r="K533" s="1"/>
  <c r="I963"/>
  <c r="K963" s="1"/>
  <c r="I752"/>
  <c r="K752" s="1"/>
  <c r="I464"/>
  <c r="K464" s="1"/>
  <c r="I18"/>
  <c r="K18" s="1"/>
  <c r="I829"/>
  <c r="K829" s="1"/>
  <c r="I304"/>
  <c r="K304" s="1"/>
  <c r="I412"/>
  <c r="K412" s="1"/>
  <c r="I995"/>
  <c r="K995" s="1"/>
  <c r="I172"/>
  <c r="K172" s="1"/>
  <c r="I187"/>
  <c r="K187" s="1"/>
  <c r="I193"/>
  <c r="K193" s="1"/>
  <c r="I535"/>
  <c r="K535" s="1"/>
  <c r="I867"/>
  <c r="K867" s="1"/>
  <c r="I719"/>
  <c r="K719" s="1"/>
  <c r="I490"/>
  <c r="K490" s="1"/>
  <c r="I519"/>
  <c r="K519" s="1"/>
  <c r="I217"/>
  <c r="K217" s="1"/>
  <c r="I806"/>
  <c r="K806" s="1"/>
  <c r="I28"/>
  <c r="K28" s="1"/>
  <c r="I148"/>
  <c r="K148" s="1"/>
  <c r="I375"/>
  <c r="K375" s="1"/>
  <c r="I546"/>
  <c r="K546" s="1"/>
  <c r="I697"/>
  <c r="K697" s="1"/>
  <c r="I559"/>
  <c r="K559" s="1"/>
  <c r="I339"/>
  <c r="K339" s="1"/>
  <c r="I893"/>
  <c r="K893" s="1"/>
  <c r="I918"/>
  <c r="K918" s="1"/>
  <c r="I481"/>
  <c r="K481" s="1"/>
  <c r="I496"/>
  <c r="K496" s="1"/>
  <c r="I143"/>
  <c r="K143" s="1"/>
  <c r="I117"/>
  <c r="K117" s="1"/>
  <c r="I475"/>
  <c r="K475" s="1"/>
  <c r="I681"/>
  <c r="K681" s="1"/>
  <c r="I597"/>
  <c r="K597" s="1"/>
  <c r="I900"/>
  <c r="K900" s="1"/>
  <c r="I440"/>
  <c r="K440" s="1"/>
  <c r="I534"/>
  <c r="K534" s="1"/>
  <c r="I561"/>
  <c r="K561" s="1"/>
  <c r="I419"/>
  <c r="K419" s="1"/>
  <c r="I144"/>
  <c r="K144" s="1"/>
  <c r="I330"/>
  <c r="K330" s="1"/>
  <c r="I394"/>
  <c r="K394" s="1"/>
  <c r="I862"/>
  <c r="K862" s="1"/>
  <c r="I397"/>
  <c r="K397" s="1"/>
  <c r="I431"/>
  <c r="K431" s="1"/>
  <c r="I567"/>
  <c r="K567" s="1"/>
  <c r="I854"/>
  <c r="K854" s="1"/>
  <c r="I140"/>
  <c r="K140" s="1"/>
  <c r="I10"/>
  <c r="K10" s="1"/>
  <c r="I648"/>
  <c r="K648" s="1"/>
  <c r="I268"/>
  <c r="K268" s="1"/>
  <c r="I619"/>
  <c r="K619" s="1"/>
  <c r="I463"/>
  <c r="K463" s="1"/>
  <c r="I385"/>
  <c r="K385" s="1"/>
  <c r="I658"/>
  <c r="K658" s="1"/>
  <c r="I615"/>
  <c r="K615" s="1"/>
  <c r="I579"/>
  <c r="K579" s="1"/>
  <c r="I932"/>
  <c r="K932" s="1"/>
  <c r="I580"/>
  <c r="K580" s="1"/>
  <c r="I626"/>
  <c r="K626" s="1"/>
  <c r="I322"/>
  <c r="K322" s="1"/>
  <c r="I850"/>
  <c r="K850" s="1"/>
  <c r="I388"/>
  <c r="K388" s="1"/>
  <c r="I364"/>
  <c r="K364" s="1"/>
  <c r="I12"/>
  <c r="K12" s="1"/>
  <c r="I281"/>
  <c r="K281" s="1"/>
  <c r="I985"/>
  <c r="K985" s="1"/>
  <c r="I26"/>
  <c r="K26" s="1"/>
  <c r="I563"/>
  <c r="K563" s="1"/>
  <c r="I622"/>
  <c r="K622" s="1"/>
  <c r="I797"/>
  <c r="K797" s="1"/>
  <c r="I74"/>
  <c r="K74" s="1"/>
  <c r="I11"/>
  <c r="K11" s="1"/>
  <c r="I157"/>
  <c r="K157" s="1"/>
  <c r="I586"/>
  <c r="K586" s="1"/>
  <c r="I814"/>
  <c r="K814" s="1"/>
  <c r="I57"/>
  <c r="K57" s="1"/>
  <c r="I649"/>
  <c r="K649" s="1"/>
  <c r="I214"/>
  <c r="K214" s="1"/>
  <c r="I211"/>
  <c r="K211" s="1"/>
  <c r="I383"/>
  <c r="K383" s="1"/>
  <c r="I954"/>
  <c r="K954" s="1"/>
  <c r="I716"/>
  <c r="K716" s="1"/>
  <c r="I679"/>
  <c r="K679" s="1"/>
  <c r="I449"/>
  <c r="K449" s="1"/>
  <c r="I564"/>
  <c r="K564" s="1"/>
  <c r="I661"/>
  <c r="K661" s="1"/>
  <c r="I137"/>
  <c r="K137" s="1"/>
  <c r="I591"/>
  <c r="K591" s="1"/>
  <c r="I159"/>
  <c r="K159" s="1"/>
  <c r="I21"/>
  <c r="K21" s="1"/>
  <c r="I53"/>
  <c r="K53" s="1"/>
  <c r="I488"/>
  <c r="K488" s="1"/>
  <c r="I445"/>
  <c r="K445" s="1"/>
  <c r="I167"/>
  <c r="K167" s="1"/>
  <c r="I971"/>
  <c r="K971" s="1"/>
  <c r="I780"/>
  <c r="K780" s="1"/>
  <c r="I55"/>
  <c r="K55" s="1"/>
  <c r="I680"/>
  <c r="K680" s="1"/>
  <c r="I570"/>
  <c r="K570" s="1"/>
  <c r="I998"/>
  <c r="K998" s="1"/>
  <c r="I154"/>
  <c r="K154" s="1"/>
  <c r="I701"/>
  <c r="K701" s="1"/>
  <c r="I726"/>
  <c r="K726" s="1"/>
  <c r="I650"/>
  <c r="K650" s="1"/>
  <c r="I482"/>
  <c r="K482" s="1"/>
  <c r="I275"/>
  <c r="K275" s="1"/>
  <c r="I663"/>
  <c r="K663" s="1"/>
  <c r="I969"/>
  <c r="K969" s="1"/>
  <c r="I902"/>
  <c r="K902" s="1"/>
  <c r="I320"/>
  <c r="K320" s="1"/>
  <c r="I65"/>
  <c r="K65" s="1"/>
  <c r="I770"/>
  <c r="K770" s="1"/>
  <c r="I425"/>
  <c r="K425" s="1"/>
  <c r="I277"/>
  <c r="K277" s="1"/>
  <c r="I642"/>
  <c r="K642" s="1"/>
  <c r="I359"/>
  <c r="K359" s="1"/>
  <c r="I141"/>
  <c r="K141" s="1"/>
  <c r="I201"/>
  <c r="K201" s="1"/>
  <c r="I150"/>
  <c r="K150" s="1"/>
  <c r="I684"/>
  <c r="K684" s="1"/>
  <c r="I446"/>
  <c r="K446" s="1"/>
  <c r="I422"/>
  <c r="K422" s="1"/>
  <c r="I379"/>
  <c r="K379" s="1"/>
  <c r="I380"/>
  <c r="K380" s="1"/>
  <c r="I754"/>
  <c r="K754" s="1"/>
  <c r="I578"/>
  <c r="K578" s="1"/>
  <c r="I373"/>
  <c r="K373" s="1"/>
  <c r="I32"/>
  <c r="K32" s="1"/>
  <c r="I2"/>
  <c r="K2" s="1"/>
  <c r="I977"/>
  <c r="K977" s="1"/>
  <c r="I89"/>
  <c r="K89" s="1"/>
  <c r="I402"/>
  <c r="K402" s="1"/>
  <c r="I228"/>
  <c r="K228" s="1"/>
  <c r="I874"/>
  <c r="K874" s="1"/>
  <c r="I42"/>
  <c r="K42" s="1"/>
  <c r="I50"/>
  <c r="K50" s="1"/>
  <c r="I454"/>
  <c r="K454" s="1"/>
  <c r="I244"/>
  <c r="K244" s="1"/>
  <c r="I396"/>
  <c r="K396" s="1"/>
  <c r="I106"/>
  <c r="K106" s="1"/>
  <c r="I776"/>
  <c r="K776" s="1"/>
  <c r="I788"/>
  <c r="K788" s="1"/>
  <c r="I620"/>
  <c r="K620" s="1"/>
  <c r="I180"/>
  <c r="K180" s="1"/>
  <c r="I693"/>
  <c r="K693" s="1"/>
  <c r="I913"/>
  <c r="K913" s="1"/>
  <c r="I735"/>
  <c r="K735" s="1"/>
  <c r="I426"/>
  <c r="K426" s="1"/>
  <c r="I919"/>
  <c r="K919" s="1"/>
  <c r="I476"/>
  <c r="K476" s="1"/>
  <c r="I352"/>
  <c r="K352" s="1"/>
  <c r="I210"/>
  <c r="K210" s="1"/>
  <c r="I617"/>
  <c r="K617" s="1"/>
  <c r="I964"/>
  <c r="K964" s="1"/>
  <c r="I448"/>
  <c r="K448" s="1"/>
  <c r="I662"/>
  <c r="K662" s="1"/>
  <c r="I341"/>
  <c r="K341" s="1"/>
  <c r="I335"/>
  <c r="K335" s="1"/>
  <c r="I283"/>
  <c r="K283" s="1"/>
  <c r="I171"/>
  <c r="K171" s="1"/>
  <c r="I851"/>
  <c r="K851" s="1"/>
  <c r="I35"/>
  <c r="K35" s="1"/>
  <c r="I947"/>
  <c r="K947" s="1"/>
  <c r="I500"/>
  <c r="K500" s="1"/>
  <c r="I821"/>
  <c r="K821" s="1"/>
  <c r="I185"/>
  <c r="K185" s="1"/>
  <c r="I432"/>
  <c r="K432" s="1"/>
  <c r="I887"/>
  <c r="K887" s="1"/>
  <c r="I959"/>
  <c r="K959" s="1"/>
  <c r="I67"/>
  <c r="K67" s="1"/>
  <c r="I526"/>
  <c r="K526" s="1"/>
  <c r="I587"/>
  <c r="K587" s="1"/>
  <c r="I934"/>
  <c r="K934" s="1"/>
  <c r="I710"/>
  <c r="K710" s="1"/>
  <c r="I452"/>
  <c r="K452" s="1"/>
  <c r="I775"/>
  <c r="K775" s="1"/>
  <c r="I231"/>
  <c r="K231" s="1"/>
  <c r="I128"/>
  <c r="K128" s="1"/>
  <c r="I367"/>
  <c r="K367" s="1"/>
  <c r="I421"/>
  <c r="K421" s="1"/>
  <c r="I871"/>
  <c r="K871" s="1"/>
  <c r="I743"/>
  <c r="K743" s="1"/>
  <c r="I861"/>
  <c r="K861" s="1"/>
  <c r="I805"/>
  <c r="K805" s="1"/>
  <c r="I707"/>
  <c r="K707" s="1"/>
  <c r="I343"/>
  <c r="K343" s="1"/>
  <c r="I777"/>
  <c r="K777" s="1"/>
  <c r="I503"/>
  <c r="K503" s="1"/>
  <c r="I792"/>
  <c r="K792" s="1"/>
  <c r="I249"/>
  <c r="K249" s="1"/>
  <c r="I466"/>
  <c r="K466" s="1"/>
  <c r="I886"/>
  <c r="K886" s="1"/>
  <c r="I442"/>
  <c r="K442" s="1"/>
  <c r="I410"/>
  <c r="K410" s="1"/>
  <c r="I553"/>
  <c r="K553" s="1"/>
  <c r="I631"/>
  <c r="K631" s="1"/>
  <c r="I113"/>
  <c r="K113" s="1"/>
  <c r="I547"/>
  <c r="K547" s="1"/>
  <c r="I852"/>
  <c r="K852" s="1"/>
  <c r="I704"/>
  <c r="K704" s="1"/>
  <c r="I241"/>
  <c r="K241" s="1"/>
  <c r="I935"/>
  <c r="K935" s="1"/>
  <c r="I138"/>
  <c r="K138" s="1"/>
  <c r="I212"/>
  <c r="K212" s="1"/>
  <c r="I936"/>
  <c r="K936" s="1"/>
  <c r="I344"/>
  <c r="K344" s="1"/>
  <c r="I518"/>
  <c r="K518" s="1"/>
  <c r="I416"/>
  <c r="K416" s="1"/>
  <c r="I571"/>
  <c r="K571" s="1"/>
  <c r="I955"/>
  <c r="K955" s="1"/>
  <c r="I27"/>
  <c r="K27" s="1"/>
  <c r="I894"/>
  <c r="K894" s="1"/>
  <c r="I15"/>
  <c r="K15" s="1"/>
  <c r="I745"/>
  <c r="K745" s="1"/>
  <c r="I542"/>
  <c r="K542" s="1"/>
  <c r="I581"/>
  <c r="K581" s="1"/>
  <c r="I411"/>
  <c r="K411" s="1"/>
  <c r="I220"/>
  <c r="K220" s="1"/>
  <c r="I848"/>
  <c r="K848" s="1"/>
  <c r="I224"/>
  <c r="K224" s="1"/>
  <c r="I749"/>
  <c r="K749" s="1"/>
  <c r="I820"/>
  <c r="K820" s="1"/>
  <c r="I842"/>
  <c r="K842" s="1"/>
  <c r="I721"/>
  <c r="K721" s="1"/>
  <c r="I713"/>
  <c r="K713" s="1"/>
  <c r="I988"/>
  <c r="K988" s="1"/>
  <c r="I468"/>
  <c r="K468" s="1"/>
  <c r="I441"/>
  <c r="K441" s="1"/>
  <c r="I97"/>
  <c r="K97" s="1"/>
  <c r="I677"/>
  <c r="K677" s="1"/>
  <c r="I746"/>
  <c r="K746" s="1"/>
  <c r="I978"/>
  <c r="K978" s="1"/>
  <c r="I403"/>
  <c r="K403" s="1"/>
  <c r="I377"/>
  <c r="K377" s="1"/>
  <c r="I736"/>
  <c r="K736" s="1"/>
  <c r="I896"/>
  <c r="K896" s="1"/>
  <c r="I345"/>
  <c r="K345" s="1"/>
  <c r="I942"/>
  <c r="K942" s="1"/>
  <c r="I905"/>
  <c r="K905" s="1"/>
  <c r="I712"/>
  <c r="K712" s="1"/>
  <c r="I182"/>
  <c r="K182" s="1"/>
  <c r="I525"/>
  <c r="K525" s="1"/>
  <c r="I31"/>
  <c r="K31" s="1"/>
  <c r="I173"/>
  <c r="K173" s="1"/>
  <c r="I174"/>
  <c r="K174" s="1"/>
  <c r="I849"/>
  <c r="K849" s="1"/>
  <c r="I347"/>
  <c r="K347" s="1"/>
  <c r="I9"/>
  <c r="K9" s="1"/>
  <c r="I499"/>
  <c r="K499" s="1"/>
  <c r="I889"/>
  <c r="K889" s="1"/>
  <c r="I833"/>
  <c r="K833" s="1"/>
  <c r="I881"/>
  <c r="K881" s="1"/>
  <c r="I505"/>
  <c r="K505" s="1"/>
  <c r="I807"/>
  <c r="K807" s="1"/>
  <c r="I724"/>
  <c r="K724" s="1"/>
  <c r="I49"/>
  <c r="K49" s="1"/>
  <c r="I767"/>
  <c r="K767" s="1"/>
  <c r="I916"/>
  <c r="K916" s="1"/>
  <c r="I914"/>
  <c r="K914" s="1"/>
  <c r="I606"/>
  <c r="K606" s="1"/>
  <c r="I790"/>
  <c r="K790" s="1"/>
  <c r="I705"/>
  <c r="K705" s="1"/>
  <c r="I238"/>
  <c r="K238" s="1"/>
  <c r="I389"/>
  <c r="K389" s="1"/>
  <c r="I758"/>
  <c r="K758" s="1"/>
  <c r="I911"/>
  <c r="K911" s="1"/>
  <c r="I353"/>
  <c r="K353" s="1"/>
  <c r="I213"/>
  <c r="K213" s="1"/>
  <c r="I972"/>
  <c r="K972" s="1"/>
  <c r="I246"/>
  <c r="K246" s="1"/>
  <c r="I325"/>
  <c r="K325" s="1"/>
  <c r="I477"/>
  <c r="K477" s="1"/>
  <c r="I390"/>
  <c r="K390" s="1"/>
  <c r="I164"/>
  <c r="K164" s="1"/>
  <c r="I636"/>
  <c r="K636" s="1"/>
  <c r="I407"/>
  <c r="K407" s="1"/>
  <c r="I328"/>
  <c r="K328" s="1"/>
  <c r="I465"/>
  <c r="K465" s="1"/>
  <c r="I774"/>
  <c r="K774" s="1"/>
  <c r="I323"/>
  <c r="K323" s="1"/>
  <c r="I133"/>
  <c r="K133" s="1"/>
  <c r="I165"/>
  <c r="K165" s="1"/>
  <c r="I511"/>
  <c r="K511" s="1"/>
  <c r="I372"/>
  <c r="K372" s="1"/>
  <c r="I508"/>
  <c r="K508" s="1"/>
  <c r="I247"/>
  <c r="K247" s="1"/>
  <c r="I315"/>
  <c r="K315" s="1"/>
  <c r="I541"/>
  <c r="K541" s="1"/>
  <c r="I866"/>
  <c r="K866" s="1"/>
  <c r="I929"/>
  <c r="K929" s="1"/>
  <c r="I520"/>
  <c r="K520" s="1"/>
  <c r="I989"/>
  <c r="K989" s="1"/>
  <c r="I659"/>
  <c r="K659" s="1"/>
  <c r="I200"/>
  <c r="K200" s="1"/>
  <c r="I319"/>
  <c r="K319" s="1"/>
  <c r="I145"/>
  <c r="K145" s="1"/>
  <c r="I351"/>
  <c r="K351" s="1"/>
  <c r="I467"/>
  <c r="K467" s="1"/>
  <c r="I531"/>
  <c r="K531" s="1"/>
  <c r="I413"/>
  <c r="K413" s="1"/>
  <c r="I438"/>
  <c r="K438" s="1"/>
  <c r="I142"/>
  <c r="K142" s="1"/>
  <c r="I290"/>
  <c r="K290" s="1"/>
  <c r="I313"/>
  <c r="K313" s="1"/>
  <c r="I146"/>
  <c r="K146" s="1"/>
  <c r="I191"/>
  <c r="K191" s="1"/>
  <c r="I152"/>
  <c r="K152" s="1"/>
  <c r="I462"/>
  <c r="K462" s="1"/>
  <c r="I594"/>
  <c r="K594" s="1"/>
  <c r="I369"/>
  <c r="K369" s="1"/>
  <c r="I637"/>
  <c r="K637" s="1"/>
  <c r="I618"/>
  <c r="K618" s="1"/>
  <c r="I811"/>
  <c r="K811" s="1"/>
  <c r="I738"/>
  <c r="K738" s="1"/>
  <c r="I362"/>
  <c r="K362" s="1"/>
  <c r="I875"/>
  <c r="K875" s="1"/>
  <c r="I816"/>
  <c r="K816" s="1"/>
  <c r="I336"/>
  <c r="K336" s="1"/>
  <c r="I287"/>
  <c r="K287" s="1"/>
  <c r="I641"/>
  <c r="K641" s="1"/>
  <c r="I487"/>
  <c r="K487" s="1"/>
  <c r="I723"/>
  <c r="K723" s="1"/>
  <c r="I909"/>
  <c r="K909" s="1"/>
  <c r="I953"/>
  <c r="K953" s="1"/>
  <c r="I718"/>
  <c r="K718" s="1"/>
  <c r="I58"/>
  <c r="K58" s="1"/>
  <c r="I782"/>
  <c r="K782" s="1"/>
  <c r="I897"/>
  <c r="K897" s="1"/>
  <c r="I834"/>
  <c r="K834" s="1"/>
  <c r="I536"/>
  <c r="K536" s="1"/>
  <c r="I457"/>
  <c r="K457" s="1"/>
  <c r="I924"/>
  <c r="K924" s="1"/>
  <c r="I818"/>
  <c r="K818" s="1"/>
  <c r="I297"/>
  <c r="K297" s="1"/>
  <c r="I77"/>
  <c r="K77" s="1"/>
  <c r="I600"/>
  <c r="K600" s="1"/>
  <c r="I436"/>
  <c r="K436" s="1"/>
  <c r="I512"/>
  <c r="K512" s="1"/>
  <c r="I254"/>
  <c r="K254" s="1"/>
  <c r="I360"/>
  <c r="K360" s="1"/>
  <c r="I676"/>
  <c r="K676" s="1"/>
  <c r="I317"/>
  <c r="K317" s="1"/>
  <c r="I941"/>
  <c r="K941" s="1"/>
  <c r="I878"/>
  <c r="K878" s="1"/>
  <c r="I922"/>
  <c r="K922" s="1"/>
  <c r="I38"/>
  <c r="K38" s="1"/>
  <c r="I729"/>
  <c r="K729" s="1"/>
  <c r="I877"/>
  <c r="K877" s="1"/>
  <c r="I715"/>
  <c r="K715" s="1"/>
  <c r="I608"/>
  <c r="K608" s="1"/>
  <c r="I262"/>
  <c r="K262" s="1"/>
  <c r="I259"/>
  <c r="K259" s="1"/>
  <c r="I368"/>
  <c r="K368" s="1"/>
  <c r="I655"/>
  <c r="K655" s="1"/>
  <c r="I652"/>
  <c r="K652" s="1"/>
  <c r="I730"/>
  <c r="K730" s="1"/>
  <c r="I819"/>
  <c r="K819" s="1"/>
  <c r="I962"/>
  <c r="K962" s="1"/>
  <c r="I602"/>
  <c r="K602" s="1"/>
  <c r="I589"/>
  <c r="K589" s="1"/>
  <c r="I912"/>
  <c r="K912" s="1"/>
  <c r="I318"/>
  <c r="K318" s="1"/>
  <c r="I920"/>
  <c r="K920" s="1"/>
  <c r="I981"/>
  <c r="K981" s="1"/>
  <c r="I205"/>
  <c r="K205" s="1"/>
  <c r="I603"/>
  <c r="K603" s="1"/>
  <c r="I497"/>
  <c r="K497" s="1"/>
  <c r="I824"/>
  <c r="K824" s="1"/>
  <c r="I401"/>
  <c r="K401" s="1"/>
  <c r="I108"/>
  <c r="K108" s="1"/>
  <c r="I16"/>
  <c r="K16" s="1"/>
  <c r="I611"/>
  <c r="K611" s="1"/>
  <c r="I47"/>
  <c r="K47" s="1"/>
  <c r="I949"/>
  <c r="K949" s="1"/>
  <c r="I293"/>
  <c r="K293" s="1"/>
  <c r="I612"/>
  <c r="K612" s="1"/>
  <c r="I68"/>
  <c r="K68" s="1"/>
  <c r="I365"/>
  <c r="K365" s="1"/>
  <c r="I765"/>
  <c r="K765" s="1"/>
  <c r="I507"/>
  <c r="K507" s="1"/>
  <c r="I6"/>
  <c r="K6" s="1"/>
  <c r="I966"/>
  <c r="K966" s="1"/>
  <c r="I314"/>
  <c r="K314" s="1"/>
  <c r="I177"/>
  <c r="K177" s="1"/>
  <c r="I310"/>
  <c r="K310" s="1"/>
  <c r="I473"/>
  <c r="K473" s="1"/>
  <c r="I70"/>
  <c r="K70" s="1"/>
  <c r="I252"/>
  <c r="K252" s="1"/>
  <c r="I784"/>
  <c r="K784" s="1"/>
  <c r="I769"/>
  <c r="K769" s="1"/>
  <c r="I906"/>
  <c r="K906" s="1"/>
  <c r="I124"/>
  <c r="K124" s="1"/>
  <c r="I808"/>
  <c r="K808" s="1"/>
  <c r="I961"/>
  <c r="K961" s="1"/>
  <c r="I478"/>
  <c r="K478" s="1"/>
  <c r="I219"/>
  <c r="K219" s="1"/>
  <c r="I271"/>
  <c r="K271" s="1"/>
  <c r="I700"/>
  <c r="K700" s="1"/>
  <c r="I493"/>
  <c r="K493" s="1"/>
  <c r="I147"/>
  <c r="K147" s="1"/>
  <c r="I75"/>
  <c r="K75" s="1"/>
  <c r="I160"/>
  <c r="K160" s="1"/>
  <c r="I395"/>
  <c r="K395" s="1"/>
  <c r="I592"/>
  <c r="K592" s="1"/>
  <c r="I943"/>
  <c r="K943" s="1"/>
  <c r="I965"/>
  <c r="K965" s="1"/>
  <c r="I206"/>
  <c r="K206" s="1"/>
  <c r="I908"/>
  <c r="K908" s="1"/>
  <c r="I690"/>
  <c r="K690" s="1"/>
  <c r="I537"/>
  <c r="K537" s="1"/>
  <c r="I868"/>
  <c r="K868" s="1"/>
  <c r="I63"/>
  <c r="K63" s="1"/>
  <c r="I135"/>
  <c r="K135" s="1"/>
  <c r="I91"/>
  <c r="K91" s="1"/>
  <c r="I95"/>
  <c r="K95" s="1"/>
  <c r="I996"/>
  <c r="K996" s="1"/>
  <c r="I451"/>
  <c r="K451" s="1"/>
  <c r="I188"/>
  <c r="K188" s="1"/>
  <c r="I732"/>
  <c r="K732" s="1"/>
  <c r="I398"/>
  <c r="K398" s="1"/>
  <c r="I879"/>
  <c r="K879" s="1"/>
  <c r="I733"/>
  <c r="K733" s="1"/>
  <c r="I374"/>
  <c r="K374" s="1"/>
  <c r="I349"/>
  <c r="K349" s="1"/>
  <c r="I470"/>
  <c r="K470" s="1"/>
  <c r="I59"/>
  <c r="K59" s="1"/>
  <c r="I665"/>
  <c r="K665" s="1"/>
  <c r="I739"/>
  <c r="K739" s="1"/>
  <c r="I798"/>
  <c r="K798" s="1"/>
  <c r="I272"/>
  <c r="K272" s="1"/>
  <c r="I987"/>
  <c r="K987" s="1"/>
  <c r="I502"/>
  <c r="K502" s="1"/>
  <c r="I181"/>
  <c r="K181" s="1"/>
  <c r="I79"/>
  <c r="K79" s="1"/>
  <c r="I295"/>
  <c r="K295" s="1"/>
  <c r="I781"/>
  <c r="K781" s="1"/>
  <c r="I702"/>
  <c r="K702" s="1"/>
  <c r="I222"/>
  <c r="K222" s="1"/>
  <c r="I863"/>
  <c r="K863" s="1"/>
  <c r="I61"/>
  <c r="K61" s="1"/>
  <c r="I577"/>
  <c r="K577" s="1"/>
  <c r="I582"/>
  <c r="K582" s="1"/>
  <c r="I183"/>
  <c r="K183" s="1"/>
  <c r="I52"/>
  <c r="K52" s="1"/>
  <c r="I492"/>
  <c r="K492" s="1"/>
  <c r="I706"/>
  <c r="K706" s="1"/>
  <c r="I250"/>
  <c r="K250" s="1"/>
  <c r="I876"/>
  <c r="K876" s="1"/>
  <c r="I186"/>
  <c r="K186" s="1"/>
  <c r="I311"/>
  <c r="K311" s="1"/>
  <c r="I836"/>
  <c r="K836" s="1"/>
  <c r="I501"/>
  <c r="K501" s="1"/>
  <c r="I107"/>
  <c r="K107" s="1"/>
  <c r="I233"/>
  <c r="K233" s="1"/>
  <c r="I714"/>
  <c r="K714" s="1"/>
  <c r="I483"/>
  <c r="K483" s="1"/>
  <c r="I299"/>
  <c r="K299" s="1"/>
  <c r="I800"/>
  <c r="K800" s="1"/>
  <c r="I161"/>
  <c r="K161" s="1"/>
  <c r="I109"/>
  <c r="K109" s="1"/>
  <c r="I517"/>
  <c r="K517" s="1"/>
  <c r="I358"/>
  <c r="K358" s="1"/>
  <c r="I129"/>
  <c r="K129" s="1"/>
  <c r="I768"/>
  <c r="K768" s="1"/>
  <c r="I265"/>
  <c r="K265" s="1"/>
  <c r="I568"/>
  <c r="K568" s="1"/>
  <c r="I110"/>
  <c r="K110" s="1"/>
  <c r="I260"/>
  <c r="K260" s="1"/>
  <c r="I350"/>
  <c r="K350" s="1"/>
  <c r="I837"/>
  <c r="K837" s="1"/>
  <c r="I930"/>
  <c r="K930" s="1"/>
  <c r="I656"/>
  <c r="K656" s="1"/>
  <c r="I588"/>
  <c r="K588" s="1"/>
  <c r="I62"/>
  <c r="K62" s="1"/>
  <c r="I853"/>
  <c r="K853" s="1"/>
  <c r="I692"/>
  <c r="K692" s="1"/>
  <c r="I828"/>
  <c r="K828" s="1"/>
  <c r="I557"/>
  <c r="K557" s="1"/>
  <c r="I274"/>
  <c r="K274" s="1"/>
  <c r="I928"/>
  <c r="K928" s="1"/>
  <c r="I675"/>
  <c r="K675" s="1"/>
  <c r="I130"/>
  <c r="K130" s="1"/>
  <c r="I484"/>
  <c r="K484" s="1"/>
  <c r="I381"/>
  <c r="K381" s="1"/>
  <c r="I321"/>
  <c r="K321" s="1"/>
  <c r="I855"/>
  <c r="K855" s="1"/>
  <c r="I569"/>
  <c r="K569" s="1"/>
  <c r="I671"/>
  <c r="K671" s="1"/>
  <c r="I869"/>
  <c r="K869" s="1"/>
  <c r="I255"/>
  <c r="K255" s="1"/>
  <c r="I899"/>
  <c r="K899" s="1"/>
  <c r="I948"/>
  <c r="K948" s="1"/>
  <c r="I504"/>
  <c r="K504" s="1"/>
  <c r="I883"/>
  <c r="K883" s="1"/>
  <c r="I751"/>
  <c r="K751" s="1"/>
  <c r="I556"/>
  <c r="K556" s="1"/>
  <c r="I802"/>
  <c r="K802" s="1"/>
  <c r="I139"/>
  <c r="K139" s="1"/>
  <c r="I96"/>
  <c r="K96" s="1"/>
  <c r="I892"/>
  <c r="K892" s="1"/>
  <c r="I952"/>
  <c r="K952" s="1"/>
  <c r="I632"/>
  <c r="K632" s="1"/>
  <c r="I450"/>
  <c r="K450" s="1"/>
  <c r="I870"/>
  <c r="K870" s="1"/>
  <c r="I202"/>
  <c r="K202" s="1"/>
  <c r="I660"/>
  <c r="K660" s="1"/>
  <c r="I907"/>
  <c r="K907" s="1"/>
  <c r="I627"/>
  <c r="K627" s="1"/>
  <c r="I817"/>
  <c r="K817" s="1"/>
  <c r="I634"/>
  <c r="K634" s="1"/>
  <c r="I371"/>
  <c r="K371" s="1"/>
  <c r="I753"/>
  <c r="K753" s="1"/>
  <c r="I43"/>
  <c r="K43" s="1"/>
  <c r="I294"/>
  <c r="K294" s="1"/>
  <c r="I270"/>
  <c r="K270" s="1"/>
  <c r="I596"/>
  <c r="K596" s="1"/>
  <c r="I242"/>
  <c r="K242" s="1"/>
  <c r="I815"/>
  <c r="K815" s="1"/>
  <c r="I41"/>
  <c r="K41" s="1"/>
  <c r="I647"/>
  <c r="K647" s="1"/>
  <c r="I257"/>
  <c r="K257" s="1"/>
  <c r="I967"/>
  <c r="K967" s="1"/>
  <c r="I560"/>
  <c r="K560" s="1"/>
  <c r="I858"/>
  <c r="K858" s="1"/>
  <c r="I346"/>
  <c r="K346" s="1"/>
  <c r="I844"/>
  <c r="K844" s="1"/>
  <c r="I638"/>
  <c r="K638" s="1"/>
  <c r="I695"/>
  <c r="K695" s="1"/>
  <c r="I486"/>
  <c r="K486" s="1"/>
  <c r="I950"/>
  <c r="K950" s="1"/>
  <c r="I734"/>
  <c r="K734" s="1"/>
  <c r="I125"/>
  <c r="K125" s="1"/>
  <c r="I384"/>
  <c r="K384" s="1"/>
  <c r="I614"/>
  <c r="K614" s="1"/>
  <c r="O8" i="4" l="1"/>
  <c r="O7"/>
  <c r="O5"/>
</calcChain>
</file>

<file path=xl/sharedStrings.xml><?xml version="1.0" encoding="utf-8"?>
<sst xmlns="http://schemas.openxmlformats.org/spreadsheetml/2006/main" count="9118" uniqueCount="1093">
  <si>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</si>
  <si>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</si>
  <si>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</si>
  <si>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</si>
  <si>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</si>
  <si>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</si>
  <si>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</si>
  <si>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</si>
  <si>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</si>
  <si>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</si>
  <si>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</si>
  <si>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</si>
  <si>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</si>
  <si>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</si>
  <si>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</si>
  <si>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</si>
  <si>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</si>
  <si>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</si>
  <si>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</si>
  <si>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</si>
  <si>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</si>
  <si>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</si>
  <si>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</si>
  <si>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</si>
  <si>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</si>
  <si>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</si>
  <si>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</si>
  <si>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</si>
  <si>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</si>
  <si>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</si>
  <si>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</si>
  <si>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</si>
  <si>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</si>
  <si>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</si>
  <si>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</si>
  <si>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</si>
  <si>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</si>
  <si>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</si>
  <si>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</si>
  <si>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</si>
  <si>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</si>
  <si>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</si>
  <si>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</si>
  <si>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</si>
  <si>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</si>
  <si>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</si>
  <si>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</si>
  <si>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</si>
  <si>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</si>
  <si>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</si>
  <si>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</si>
  <si>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</si>
  <si>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</si>
  <si>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</si>
  <si>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</si>
  <si>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</si>
  <si>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</si>
  <si>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</si>
  <si>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</si>
  <si>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</si>
  <si>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</si>
  <si>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</si>
  <si>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</si>
  <si>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</si>
  <si>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</si>
  <si>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</si>
  <si>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</si>
  <si>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</si>
  <si>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</si>
  <si>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</si>
  <si>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</si>
  <si>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</si>
  <si>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</si>
  <si>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</si>
  <si>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</si>
  <si>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</si>
  <si>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</si>
  <si>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</si>
  <si>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</si>
  <si>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</si>
  <si>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</si>
  <si>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</si>
  <si>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</si>
  <si>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</si>
  <si>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</si>
  <si>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</si>
  <si>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</si>
  <si>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</si>
  <si>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</si>
  <si>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</si>
  <si>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</si>
  <si>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</si>
  <si>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</si>
  <si>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</si>
  <si>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</si>
  <si>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</si>
  <si>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</si>
  <si>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</si>
  <si>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</si>
  <si>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</si>
  <si>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</si>
  <si>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</si>
  <si>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</si>
  <si>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</si>
  <si>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</si>
  <si>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</si>
  <si>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</si>
  <si>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</si>
  <si>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</si>
  <si>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</si>
  <si>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</si>
  <si>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</si>
  <si>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</si>
  <si>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</si>
  <si>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</si>
  <si>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</si>
  <si>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</si>
  <si>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</si>
  <si>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</si>
  <si>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</si>
  <si>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</si>
  <si>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</si>
  <si>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</si>
  <si>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</si>
  <si>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</si>
  <si>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</si>
  <si>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</si>
  <si>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</si>
  <si>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</si>
  <si>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</si>
  <si>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</si>
  <si>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</si>
  <si>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</si>
  <si>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</si>
  <si>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</si>
  <si>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</si>
  <si>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</si>
  <si>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</si>
  <si>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</si>
  <si>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</si>
  <si>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</si>
  <si>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</si>
  <si>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</si>
  <si>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</si>
  <si>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</si>
  <si>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</si>
  <si>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</si>
  <si>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</si>
  <si>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</si>
  <si>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</si>
  <si>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</si>
  <si>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</si>
  <si>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</si>
  <si>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</si>
  <si>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</si>
  <si>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</si>
  <si>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</si>
  <si>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</si>
  <si>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</si>
  <si>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</si>
  <si>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</si>
  <si>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</si>
  <si>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</si>
  <si>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</si>
  <si>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</si>
  <si>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</si>
  <si>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</si>
  <si>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</si>
  <si>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</si>
  <si>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</si>
  <si>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</si>
  <si>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</si>
  <si>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</si>
  <si>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</si>
  <si>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</si>
  <si>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</si>
  <si>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</si>
  <si>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</si>
  <si>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</si>
  <si>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</si>
  <si>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</si>
  <si>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</si>
  <si>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</si>
  <si>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</si>
  <si>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</si>
  <si>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</si>
  <si>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</si>
  <si>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</si>
  <si>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</si>
  <si>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</si>
  <si>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</si>
  <si>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</si>
  <si>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</si>
  <si>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</si>
  <si>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</si>
  <si>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</si>
  <si>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</si>
  <si>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</si>
  <si>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</si>
  <si>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</si>
  <si>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</si>
  <si>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</si>
  <si>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</si>
  <si>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</si>
  <si>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</si>
  <si>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</si>
  <si>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</si>
  <si>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</si>
  <si>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</si>
  <si>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</si>
  <si>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</si>
  <si>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</si>
  <si>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</si>
  <si>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</si>
  <si>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</si>
  <si>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</si>
  <si>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</si>
  <si>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</si>
  <si>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</si>
  <si>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</si>
  <si>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</si>
  <si>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</si>
  <si>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</si>
  <si>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</si>
  <si>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</si>
  <si>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</si>
  <si>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</si>
  <si>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</si>
  <si>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</si>
  <si>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</si>
  <si>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</si>
  <si>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</si>
  <si>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</si>
  <si>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</si>
  <si>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</si>
  <si>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</si>
  <si>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</si>
  <si>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</si>
  <si>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</si>
  <si>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</si>
  <si>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</si>
  <si>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</si>
  <si>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</si>
  <si>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</si>
  <si>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</si>
  <si>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</si>
  <si>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</si>
  <si>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</si>
  <si>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</si>
  <si>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</si>
  <si>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</si>
  <si>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</si>
  <si>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</si>
  <si>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</si>
  <si>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</si>
  <si>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</si>
  <si>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</si>
  <si>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</si>
  <si>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</si>
  <si>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</si>
  <si>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</si>
  <si>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</si>
  <si>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</si>
  <si>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</si>
  <si>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</si>
  <si>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</si>
  <si>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</si>
  <si>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</si>
  <si>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</si>
  <si>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</si>
  <si>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</si>
  <si>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</si>
  <si>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</si>
  <si>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</si>
  <si>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</si>
  <si>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</si>
  <si>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</si>
  <si>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</si>
  <si>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</si>
  <si>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</si>
  <si>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</si>
  <si>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</si>
  <si>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</si>
  <si>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</si>
  <si>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</si>
  <si>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</si>
  <si>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</si>
  <si>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</si>
  <si>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</si>
  <si>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</si>
  <si>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</si>
  <si>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</si>
  <si>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</si>
  <si>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</si>
  <si>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</si>
  <si>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</si>
  <si>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</si>
  <si>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</si>
  <si>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</si>
  <si>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</si>
  <si>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</si>
  <si>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</si>
  <si>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</si>
  <si>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</si>
  <si>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</si>
  <si>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</si>
  <si>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</si>
  <si>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</si>
  <si>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</si>
  <si>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</si>
  <si>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</si>
  <si>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</si>
  <si>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</si>
  <si>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</si>
  <si>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</si>
  <si>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</si>
  <si>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</si>
  <si>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</si>
  <si>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</si>
  <si>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</si>
  <si>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</si>
  <si>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</si>
  <si>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</si>
  <si>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</si>
  <si>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</si>
  <si>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</si>
  <si>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</si>
  <si>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</si>
  <si>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</si>
  <si>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</si>
  <si>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</si>
  <si>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</si>
  <si>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</si>
  <si>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</si>
  <si>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</si>
  <si>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</si>
  <si>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</si>
  <si>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</si>
  <si>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</si>
  <si>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</si>
  <si>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</si>
  <si>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</si>
  <si>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</si>
  <si>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</si>
  <si>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</si>
  <si>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</si>
  <si>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</si>
  <si>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</si>
  <si>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</si>
  <si>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</si>
  <si>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</si>
  <si>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</si>
  <si>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</si>
  <si>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</si>
  <si>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</si>
  <si>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</si>
  <si>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</si>
  <si>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</si>
  <si>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</si>
  <si>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</si>
  <si>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</si>
  <si>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</si>
  <si>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</si>
  <si>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</si>
  <si>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</si>
  <si>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</si>
  <si>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</si>
  <si>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</si>
  <si>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</si>
  <si>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</si>
  <si>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</si>
  <si>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</si>
  <si>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</si>
  <si>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</si>
  <si>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</si>
  <si>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</si>
  <si>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</si>
  <si>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</si>
  <si>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</si>
  <si>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</si>
  <si>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</si>
  <si>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</si>
  <si>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</si>
  <si>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</si>
  <si>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</si>
  <si>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</si>
  <si>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</si>
  <si>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</si>
  <si>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</si>
  <si>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</si>
  <si>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</si>
  <si>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</si>
  <si>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</si>
  <si>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</si>
  <si>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</si>
  <si>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</si>
  <si>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</si>
  <si>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</si>
  <si>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</si>
  <si>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</si>
  <si>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</si>
  <si>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</si>
  <si>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</si>
  <si>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</si>
  <si>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</si>
  <si>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</si>
  <si>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</si>
  <si>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</si>
  <si>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</si>
  <si>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</si>
  <si>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</si>
  <si>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</si>
  <si>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</si>
  <si>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</si>
  <si>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</si>
  <si>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</si>
  <si>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</si>
  <si>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</si>
  <si>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</si>
  <si>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</si>
  <si>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</si>
  <si>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</si>
  <si>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</si>
  <si>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</si>
  <si>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</si>
  <si>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</si>
  <si>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</si>
  <si>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</si>
  <si>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</si>
  <si>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</si>
  <si>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</si>
  <si>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</si>
  <si>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</si>
  <si>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</si>
  <si>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</si>
  <si>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</si>
  <si>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</si>
  <si>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</si>
  <si>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</si>
  <si>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</si>
  <si>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</si>
  <si>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</si>
  <si>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</si>
  <si>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</si>
  <si>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</si>
  <si>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</si>
  <si>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</si>
  <si>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</si>
  <si>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</si>
  <si>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</si>
  <si>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</si>
  <si>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</si>
  <si>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</si>
  <si>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</si>
  <si>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</si>
  <si>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</si>
  <si>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</si>
  <si>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</si>
  <si>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</si>
  <si>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</si>
  <si>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</si>
  <si>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</si>
  <si>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</si>
  <si>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</si>
  <si>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</si>
  <si>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</si>
  <si>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</si>
  <si>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</si>
  <si>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</si>
  <si>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</si>
  <si>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</si>
  <si>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</si>
  <si>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</si>
  <si>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</si>
  <si>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</si>
  <si>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</si>
  <si>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</si>
  <si>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</si>
  <si>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</si>
  <si>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</si>
  <si>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</si>
  <si>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</si>
  <si>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</si>
  <si>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</si>
  <si>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</si>
  <si>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</si>
  <si>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</si>
  <si>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</si>
  <si>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</si>
  <si>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</si>
  <si>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</si>
  <si>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</si>
  <si>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</si>
  <si>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</si>
  <si>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</si>
  <si>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</si>
  <si>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</si>
  <si>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</si>
  <si>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</si>
  <si>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</si>
  <si>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</si>
  <si>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</si>
  <si>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</si>
  <si>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</si>
  <si>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</si>
  <si>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</si>
  <si>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</si>
  <si>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</si>
  <si>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</si>
  <si>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</si>
  <si>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</si>
  <si>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</si>
  <si>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</si>
  <si>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</si>
  <si>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</si>
  <si>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</si>
  <si>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</si>
  <si>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</si>
  <si>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</si>
  <si>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</si>
  <si>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</si>
  <si>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</si>
  <si>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</si>
  <si>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</si>
  <si>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</si>
  <si>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</si>
  <si>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</si>
  <si>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</si>
  <si>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</si>
  <si>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</si>
  <si>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</si>
  <si>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</si>
  <si>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</si>
  <si>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</si>
  <si>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</si>
  <si>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</si>
  <si>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</si>
  <si>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</si>
  <si>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</si>
  <si>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</si>
  <si>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</si>
  <si>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</si>
  <si>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</si>
  <si>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</si>
  <si>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</si>
  <si>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</si>
  <si>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</si>
  <si>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</si>
  <si>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</si>
  <si>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</si>
  <si>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</si>
  <si>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</si>
  <si>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</si>
  <si>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</si>
  <si>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</si>
  <si>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</si>
  <si>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</si>
  <si>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</si>
  <si>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</si>
  <si>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</si>
  <si>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</si>
  <si>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</si>
  <si>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</si>
  <si>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</si>
  <si>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</si>
  <si>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</si>
  <si>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</si>
  <si>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</si>
  <si>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</si>
  <si>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</si>
  <si>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</si>
  <si>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</si>
  <si>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</si>
  <si>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</si>
  <si>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</si>
  <si>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</si>
  <si>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</si>
  <si>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</si>
  <si>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</si>
  <si>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</si>
  <si>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</si>
  <si>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</si>
  <si>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</si>
  <si>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</si>
  <si>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</si>
  <si>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</si>
  <si>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</si>
  <si>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</si>
  <si>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</si>
  <si>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</si>
  <si>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</si>
  <si>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</si>
  <si>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</si>
  <si>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</si>
  <si>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</si>
  <si>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</si>
  <si>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</si>
  <si>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</si>
  <si>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</si>
  <si>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</si>
  <si>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</si>
  <si>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</si>
  <si>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</si>
  <si>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</si>
  <si>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</si>
  <si>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</si>
  <si>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</si>
  <si>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</si>
  <si>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</si>
  <si>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</si>
  <si>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</si>
  <si>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</si>
  <si>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</si>
  <si>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</si>
  <si>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</si>
  <si>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</si>
  <si>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</si>
  <si>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</si>
  <si>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</si>
  <si>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</si>
  <si>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</si>
  <si>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</si>
  <si>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</si>
  <si>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</si>
  <si>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</si>
  <si>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</si>
  <si>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</si>
  <si>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</si>
  <si>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</si>
  <si>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</si>
  <si>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</si>
  <si>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</si>
  <si>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</si>
  <si>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</si>
  <si>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</si>
  <si>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</si>
  <si>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</si>
  <si>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</si>
  <si>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</si>
  <si>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</si>
  <si>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</si>
  <si>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</si>
  <si>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</si>
  <si>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</si>
  <si>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</si>
  <si>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</si>
  <si>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</si>
  <si>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</si>
  <si>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</si>
  <si>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</si>
  <si>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</si>
  <si>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</si>
  <si>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</si>
  <si>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</si>
  <si>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</si>
  <si>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</si>
  <si>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</si>
  <si>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</si>
  <si>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</si>
  <si>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</si>
  <si>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</si>
  <si>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</si>
  <si>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</si>
  <si>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</si>
  <si>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</si>
  <si>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</si>
  <si>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</si>
  <si>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</si>
  <si>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</si>
  <si>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</si>
  <si>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</si>
  <si>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</si>
  <si>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</si>
  <si>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</si>
  <si>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</si>
  <si>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</si>
  <si>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</si>
  <si>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</si>
  <si>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</si>
  <si>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</si>
  <si>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</si>
  <si>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</si>
  <si>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</si>
  <si>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</si>
  <si>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</si>
  <si>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</si>
  <si>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</si>
  <si>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</si>
  <si>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</si>
  <si>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</si>
  <si>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</si>
  <si>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</si>
  <si>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</si>
  <si>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</si>
  <si>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</si>
  <si>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</si>
  <si>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</si>
  <si>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</si>
  <si>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</si>
  <si>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</si>
  <si>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</si>
  <si>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</si>
  <si>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</si>
  <si>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</si>
  <si>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</si>
  <si>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</si>
  <si>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</si>
  <si>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</si>
  <si>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</si>
  <si>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</si>
  <si>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</si>
  <si>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</si>
  <si>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</si>
  <si>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</si>
  <si>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</si>
  <si>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</si>
  <si>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</si>
  <si>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</si>
  <si>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</si>
  <si>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</si>
  <si>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</si>
  <si>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</si>
  <si>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</si>
  <si>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</si>
  <si>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</si>
  <si>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</si>
  <si>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</si>
  <si>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</si>
  <si>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</si>
  <si>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</si>
  <si>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</si>
  <si>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</si>
  <si>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</si>
  <si>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</si>
  <si>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</si>
  <si>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</si>
  <si>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</si>
  <si>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</si>
  <si>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</si>
  <si>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</si>
  <si>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</si>
  <si>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</si>
  <si>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</si>
  <si>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</si>
  <si>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</si>
  <si>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</si>
  <si>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</si>
  <si>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</si>
  <si>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</si>
  <si>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</si>
  <si>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</si>
  <si>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</si>
  <si>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</si>
  <si>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</si>
  <si>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</si>
  <si>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</si>
  <si>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</si>
  <si>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</si>
  <si>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</si>
  <si>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</si>
  <si>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</si>
  <si>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</si>
  <si>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</si>
  <si>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</si>
  <si>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</si>
  <si>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</si>
  <si>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</si>
  <si>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</si>
  <si>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</si>
  <si>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</si>
  <si>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</si>
  <si>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</si>
  <si>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</si>
  <si>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</si>
  <si>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</si>
  <si>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</si>
  <si>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</si>
  <si>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</si>
  <si>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</si>
  <si>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</si>
  <si>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</si>
  <si>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</si>
  <si>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</si>
  <si>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</si>
  <si>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</si>
  <si>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</si>
  <si>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</si>
  <si>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</si>
  <si>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</si>
  <si>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</si>
  <si>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</si>
  <si>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</si>
  <si>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</si>
  <si>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</si>
  <si>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</si>
  <si>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</si>
  <si>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</si>
  <si>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</si>
  <si>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</si>
  <si>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</si>
  <si>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</si>
  <si>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</si>
  <si>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</si>
  <si>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</si>
  <si>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</si>
  <si>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</si>
  <si>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</si>
  <si>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</si>
  <si>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</si>
  <si>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</si>
  <si>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</si>
  <si>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</si>
  <si>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</si>
  <si>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</si>
  <si>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</si>
  <si>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</si>
  <si>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</si>
  <si>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</si>
  <si>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</si>
  <si>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</si>
  <si>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</si>
  <si>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</si>
  <si>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</si>
  <si>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</si>
  <si>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</si>
  <si>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</si>
  <si>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</si>
  <si>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</si>
  <si>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</si>
  <si>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</si>
  <si>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</si>
  <si>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</si>
  <si>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</si>
  <si>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</si>
  <si>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</si>
  <si>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</si>
  <si>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</si>
  <si>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</si>
  <si>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</si>
  <si>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</si>
  <si>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</si>
  <si>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</si>
  <si>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</si>
  <si>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</si>
  <si>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</si>
  <si>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</si>
  <si>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</si>
  <si>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</si>
  <si>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</si>
  <si>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</si>
  <si>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</si>
  <si>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</si>
  <si>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</si>
  <si>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</si>
  <si>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</si>
  <si>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</si>
  <si>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</si>
  <si>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</si>
  <si>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</si>
  <si>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</si>
  <si>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</si>
  <si>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</si>
  <si>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</si>
  <si>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</si>
  <si>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</si>
  <si>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</si>
  <si>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</si>
  <si>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</si>
  <si>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</si>
  <si>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</si>
  <si>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</si>
  <si>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</si>
  <si>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</si>
  <si>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</si>
  <si>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</si>
  <si>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</si>
  <si>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</si>
  <si>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</si>
  <si>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</si>
  <si>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</si>
  <si>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</si>
  <si>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</si>
  <si>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</si>
  <si>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</si>
  <si>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</si>
  <si>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</si>
  <si>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</si>
  <si>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</si>
  <si>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</si>
  <si>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</si>
  <si>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</si>
  <si>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</si>
  <si>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</si>
  <si>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</si>
  <si>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</si>
  <si>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</si>
  <si>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</si>
  <si>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</si>
  <si>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</si>
  <si>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</si>
  <si>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</si>
  <si>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</si>
  <si>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</si>
  <si>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</si>
  <si>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</si>
  <si>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</si>
  <si>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</si>
  <si>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</si>
  <si>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</si>
  <si>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</si>
  <si>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</si>
  <si>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</si>
  <si>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</si>
  <si>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</si>
  <si>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</si>
  <si>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</si>
  <si>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</si>
  <si>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</si>
  <si>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</si>
  <si>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</si>
  <si>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</si>
  <si>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</si>
  <si>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</si>
  <si>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</si>
  <si>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</si>
  <si>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</si>
  <si>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</si>
  <si>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</si>
  <si>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</si>
  <si>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</si>
  <si>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</si>
  <si>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</si>
  <si>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</si>
  <si>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</si>
  <si>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</si>
  <si>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</si>
  <si>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</si>
  <si>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</si>
  <si>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</si>
  <si>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</si>
  <si>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</si>
  <si>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</si>
  <si>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</si>
  <si>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</si>
  <si>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</si>
  <si>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</si>
  <si>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</si>
  <si>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</si>
  <si>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</si>
  <si>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</si>
  <si>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</si>
  <si>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</si>
  <si>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</si>
  <si>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</si>
  <si>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</si>
  <si>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</si>
  <si>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</si>
  <si>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</si>
  <si>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</si>
  <si>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</si>
  <si>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</si>
  <si>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</si>
  <si>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</si>
  <si>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</si>
  <si>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</si>
  <si>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</si>
  <si>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</si>
  <si>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</si>
  <si>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</si>
  <si>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</si>
  <si>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</si>
  <si>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</si>
  <si>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</si>
  <si>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</si>
  <si>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</si>
  <si>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</si>
  <si>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</si>
  <si>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</si>
  <si>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</si>
  <si>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</si>
  <si>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</si>
  <si>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</si>
  <si>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</si>
  <si>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</si>
  <si>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</si>
  <si>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</si>
  <si>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</si>
  <si>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</si>
  <si>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</si>
  <si>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</si>
  <si>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</si>
  <si>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</si>
  <si>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</si>
  <si>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</si>
  <si>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</si>
  <si>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</si>
  <si>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</si>
  <si>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</si>
  <si>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</si>
  <si>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</si>
  <si>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</si>
  <si>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</si>
  <si>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</si>
  <si>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</si>
  <si>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</si>
  <si>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</si>
  <si>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</si>
  <si>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</si>
  <si>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</si>
  <si>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</si>
  <si>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</si>
  <si>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</si>
  <si>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</si>
  <si>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</si>
  <si>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Dataset Understanding</t>
  </si>
  <si>
    <t>How many rows are in the dataset?</t>
  </si>
  <si>
    <t xml:space="preserve">Questions </t>
  </si>
  <si>
    <t>Answer</t>
  </si>
  <si>
    <t>How many columns are in the dataset?</t>
  </si>
  <si>
    <t>What type of data is stored in the Date column?</t>
  </si>
  <si>
    <t>What type of data is stored in the Product Category column?</t>
  </si>
  <si>
    <t>Text</t>
  </si>
  <si>
    <t>What type of data is stored in the Total Amount column?</t>
  </si>
  <si>
    <t>Number(Numerical)</t>
  </si>
  <si>
    <t>What are the unique product categories available in the dataset?</t>
  </si>
  <si>
    <t>Beauty, Clothing, Electronics</t>
  </si>
  <si>
    <t>What is the minimum and maximum age of customers?</t>
  </si>
  <si>
    <r>
      <rPr>
        <b/>
        <sz val="14"/>
        <color theme="1"/>
        <rFont val="Calibri"/>
        <family val="2"/>
        <scheme val="minor"/>
      </rPr>
      <t>Minimum Age =18</t>
    </r>
    <r>
      <rPr>
        <sz val="14"/>
        <color theme="1"/>
        <rFont val="Calibri"/>
        <family val="2"/>
        <scheme val="minor"/>
      </rPr>
      <t xml:space="preserve"> and </t>
    </r>
    <r>
      <rPr>
        <b/>
        <sz val="14"/>
        <color theme="1"/>
        <rFont val="Calibri"/>
        <family val="2"/>
        <scheme val="minor"/>
      </rPr>
      <t>Maximum Age = 64</t>
    </r>
  </si>
  <si>
    <t>Questions</t>
  </si>
  <si>
    <t>Are there any blank cells in the dataset?</t>
  </si>
  <si>
    <t>Ans</t>
  </si>
  <si>
    <t>Are there any duplicate rows?</t>
  </si>
  <si>
    <t xml:space="preserve">No Duplicate found </t>
  </si>
  <si>
    <t>Are all values in the Quantity column valid?</t>
  </si>
  <si>
    <t>Are all values in the Price per Unit column valid?</t>
  </si>
  <si>
    <t>Column1</t>
  </si>
  <si>
    <t>Calculated Total</t>
  </si>
  <si>
    <t xml:space="preserve">Amount Check </t>
  </si>
  <si>
    <t>Total sales amount</t>
  </si>
  <si>
    <t>Answer By Formulas</t>
  </si>
  <si>
    <t>Average sales amount</t>
  </si>
  <si>
    <t>Minimum sales amount</t>
  </si>
  <si>
    <t>Maximum sales amount</t>
  </si>
  <si>
    <t>Total quantity sold</t>
  </si>
  <si>
    <t>Average customer age</t>
  </si>
  <si>
    <t>Youngest customer age</t>
  </si>
  <si>
    <t>Oldest customer age</t>
  </si>
  <si>
    <t>Total number of transactions</t>
  </si>
  <si>
    <t>Total number of unique product categories</t>
  </si>
  <si>
    <t>Basic Analysis By Formulas</t>
  </si>
  <si>
    <t xml:space="preserve">Screenshorts of Sorting and filtering </t>
  </si>
  <si>
    <t>Which transaction has the highest total amount?</t>
  </si>
  <si>
    <t>Q no 1:</t>
  </si>
  <si>
    <t>Q no 2:</t>
  </si>
  <si>
    <t>Which transaction has the lowest total amount?</t>
  </si>
  <si>
    <t>Q no: 3</t>
  </si>
  <si>
    <t>Show only transactions where Product Category is Clothing.</t>
  </si>
  <si>
    <t>(Filter Apply on Product Category)</t>
  </si>
  <si>
    <t>(Filter/Sorting Apply on Total Amount Column)</t>
  </si>
  <si>
    <t>Q no 4:</t>
  </si>
  <si>
    <t>Show only transactions where Gender is Female.</t>
  </si>
  <si>
    <t>(Filter/ Sorting Apply on Gender column)</t>
  </si>
  <si>
    <t>Q no 5:</t>
  </si>
  <si>
    <t>Show only transactions where Quantity is greater than 2.</t>
  </si>
  <si>
    <t>(Filter Apply on Quantity column)</t>
  </si>
  <si>
    <t>Q no  6</t>
  </si>
  <si>
    <t>Sort the dataset from youngest customer to oldest customer.</t>
  </si>
  <si>
    <t>(Filter/ Sorting Apply on Age Column)</t>
  </si>
  <si>
    <t>Small Summary ( Sales by Product Category)</t>
  </si>
  <si>
    <t>Product Category Total Sales</t>
  </si>
  <si>
    <t>Category</t>
  </si>
  <si>
    <t>Sale</t>
  </si>
  <si>
    <t>Product Category Total Quantity Sold</t>
  </si>
  <si>
    <t>Small Summary (Sales by Gender)</t>
  </si>
  <si>
    <t xml:space="preserve">Gender Total Sales </t>
  </si>
  <si>
    <t xml:space="preserve">Gender </t>
  </si>
  <si>
    <t>MALE</t>
  </si>
  <si>
    <t>FEMALE</t>
  </si>
  <si>
    <t>Small Summary (Quantity Sold by Product Category)</t>
  </si>
  <si>
    <t xml:space="preserve">Small Summary </t>
  </si>
  <si>
    <t>Total Sales by Product Category</t>
  </si>
  <si>
    <t>Basic Charts</t>
  </si>
  <si>
    <t>Total Quantity Sold by Product Category</t>
  </si>
  <si>
    <t>Total Sales by Gender</t>
  </si>
  <si>
    <t>Observations from Retail Sales Analysis</t>
  </si>
  <si>
    <r>
      <t xml:space="preserve">The highest sales category is </t>
    </r>
    <r>
      <rPr>
        <b/>
        <sz val="14"/>
        <color theme="1"/>
        <rFont val="Calibri"/>
        <family val="2"/>
        <scheme val="minor"/>
      </rPr>
      <t>Electronics</t>
    </r>
    <r>
      <rPr>
        <sz val="14"/>
        <color theme="1"/>
        <rFont val="Calibri"/>
        <family val="2"/>
        <scheme val="minor"/>
      </rPr>
      <t xml:space="preserve">, generating total sales of </t>
    </r>
    <r>
      <rPr>
        <b/>
        <sz val="14"/>
        <color theme="1"/>
        <rFont val="Calibri"/>
        <family val="2"/>
        <scheme val="minor"/>
      </rPr>
      <t>156,805</t>
    </r>
    <r>
      <rPr>
        <sz val="14"/>
        <color theme="1"/>
        <rFont val="Calibri"/>
        <family val="2"/>
        <scheme val="minor"/>
      </rPr>
      <t>.</t>
    </r>
  </si>
  <si>
    <r>
      <t xml:space="preserve">The lowest sales category is </t>
    </r>
    <r>
      <rPr>
        <b/>
        <sz val="14"/>
        <color theme="1"/>
        <rFont val="Calibri"/>
        <family val="2"/>
        <scheme val="minor"/>
      </rPr>
      <t>Beauty</t>
    </r>
    <r>
      <rPr>
        <sz val="14"/>
        <color theme="1"/>
        <rFont val="Calibri"/>
        <family val="2"/>
        <scheme val="minor"/>
      </rPr>
      <t xml:space="preserve">, generating total sales of </t>
    </r>
    <r>
      <rPr>
        <b/>
        <sz val="14"/>
        <color theme="1"/>
        <rFont val="Calibri"/>
        <family val="2"/>
        <scheme val="minor"/>
      </rPr>
      <t>143,275</t>
    </r>
    <r>
      <rPr>
        <sz val="14"/>
        <color theme="1"/>
        <rFont val="Calibri"/>
        <family val="2"/>
        <scheme val="minor"/>
      </rPr>
      <t>.</t>
    </r>
  </si>
  <si>
    <r>
      <t>Female</t>
    </r>
    <r>
      <rPr>
        <sz val="14"/>
        <color theme="1"/>
        <rFont val="Calibri"/>
        <family val="2"/>
        <scheme val="minor"/>
      </rPr>
      <t xml:space="preserve"> customers generated total sales of </t>
    </r>
    <r>
      <rPr>
        <b/>
        <sz val="14"/>
        <color theme="1"/>
        <rFont val="Calibri"/>
        <family val="2"/>
        <scheme val="minor"/>
      </rPr>
      <t>232,535</t>
    </r>
    <r>
      <rPr>
        <sz val="14"/>
        <color theme="1"/>
        <rFont val="Calibri"/>
        <family val="2"/>
        <scheme val="minor"/>
      </rPr>
      <t>.</t>
    </r>
  </si>
  <si>
    <r>
      <t>Male</t>
    </r>
    <r>
      <rPr>
        <sz val="14"/>
        <color theme="1"/>
        <rFont val="Calibri"/>
        <family val="2"/>
        <scheme val="minor"/>
      </rPr>
      <t xml:space="preserve"> customers generated total sales of </t>
    </r>
    <r>
      <rPr>
        <b/>
        <sz val="14"/>
        <color theme="1"/>
        <rFont val="Calibri"/>
        <family val="2"/>
        <scheme val="minor"/>
      </rPr>
      <t>223,010</t>
    </r>
    <r>
      <rPr>
        <sz val="14"/>
        <color theme="1"/>
        <rFont val="Calibri"/>
        <family val="2"/>
        <scheme val="minor"/>
      </rPr>
      <t>.</t>
    </r>
  </si>
  <si>
    <r>
      <t xml:space="preserve">The average customer age is approximately </t>
    </r>
    <r>
      <rPr>
        <b/>
        <sz val="14"/>
        <color theme="1"/>
        <rFont val="Calibri"/>
        <family val="2"/>
        <scheme val="minor"/>
      </rPr>
      <t>41.4 years</t>
    </r>
    <r>
      <rPr>
        <sz val="14"/>
        <color theme="1"/>
        <rFont val="Calibri"/>
        <family val="2"/>
        <scheme val="minor"/>
      </rPr>
      <t>.</t>
    </r>
  </si>
  <si>
    <r>
      <t xml:space="preserve">The total quantity of items sold across all transactions is </t>
    </r>
    <r>
      <rPr>
        <b/>
        <sz val="14"/>
        <color theme="1"/>
        <rFont val="Calibri"/>
        <family val="2"/>
        <scheme val="minor"/>
      </rPr>
      <t>2,514 units</t>
    </r>
    <r>
      <rPr>
        <sz val="14"/>
        <color theme="1"/>
        <rFont val="Calibri"/>
        <family val="2"/>
        <scheme val="minor"/>
      </rPr>
      <t>.</t>
    </r>
  </si>
  <si>
    <r>
      <t xml:space="preserve">The highest single transaction amount recorded is </t>
    </r>
    <r>
      <rPr>
        <b/>
        <sz val="14"/>
        <color theme="1"/>
        <rFont val="Calibri"/>
        <family val="2"/>
        <scheme val="minor"/>
      </rPr>
      <t>2,000</t>
    </r>
    <r>
      <rPr>
        <sz val="14"/>
        <color theme="1"/>
        <rFont val="Calibri"/>
        <family val="2"/>
        <scheme val="minor"/>
      </rPr>
      <t>.</t>
    </r>
  </si>
  <si>
    <t>Data Quality Check</t>
  </si>
</sst>
</file>

<file path=xl/styles.xml><?xml version="1.0" encoding="utf-8"?>
<styleSheet xmlns="http://schemas.openxmlformats.org/spreadsheetml/2006/main">
  <numFmts count="1">
    <numFmt numFmtId="164" formatCode="mm/dd/yy;@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/>
    <xf numFmtId="164" fontId="20" fillId="0" borderId="0" xfId="0" applyNumberFormat="1" applyFont="1"/>
    <xf numFmtId="2" fontId="20" fillId="0" borderId="0" xfId="0" applyNumberFormat="1" applyFont="1"/>
    <xf numFmtId="0" fontId="0" fillId="0" borderId="0" xfId="0" applyNumberFormat="1"/>
    <xf numFmtId="2" fontId="20" fillId="34" borderId="0" xfId="0" applyNumberFormat="1" applyFont="1" applyFill="1"/>
    <xf numFmtId="2" fontId="22" fillId="34" borderId="0" xfId="0" applyNumberFormat="1" applyFont="1" applyFill="1"/>
    <xf numFmtId="0" fontId="24" fillId="0" borderId="0" xfId="0" applyFont="1"/>
    <xf numFmtId="0" fontId="23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/>
    <xf numFmtId="0" fontId="23" fillId="0" borderId="0" xfId="0" applyFont="1" applyAlignment="1">
      <alignment horizontal="center" vertical="center"/>
    </xf>
    <xf numFmtId="0" fontId="25" fillId="0" borderId="0" xfId="0" applyFont="1"/>
    <xf numFmtId="0" fontId="0" fillId="0" borderId="10" xfId="0" applyBorder="1"/>
    <xf numFmtId="0" fontId="0" fillId="0" borderId="0" xfId="0" applyBorder="1"/>
    <xf numFmtId="0" fontId="25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8" fillId="33" borderId="0" xfId="0" applyFont="1" applyFill="1" applyAlignment="1">
      <alignment horizontal="center" vertic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0" fillId="33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25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27" fillId="36" borderId="0" xfId="0" applyFont="1" applyFill="1" applyAlignment="1">
      <alignment horizontal="center" vertical="center"/>
    </xf>
    <xf numFmtId="0" fontId="26" fillId="37" borderId="10" xfId="0" applyFont="1" applyFill="1" applyBorder="1" applyAlignment="1">
      <alignment horizontal="center" vertical="center"/>
    </xf>
    <xf numFmtId="0" fontId="20" fillId="35" borderId="10" xfId="0" applyFont="1" applyFill="1" applyBorder="1" applyAlignment="1">
      <alignment horizontal="center" vertical="center"/>
    </xf>
    <xf numFmtId="0" fontId="20" fillId="38" borderId="10" xfId="0" applyFont="1" applyFill="1" applyBorder="1" applyAlignment="1">
      <alignment horizontal="center"/>
    </xf>
    <xf numFmtId="0" fontId="20" fillId="39" borderId="11" xfId="0" applyFont="1" applyFill="1" applyBorder="1" applyAlignment="1">
      <alignment horizontal="center" vertical="center"/>
    </xf>
    <xf numFmtId="0" fontId="20" fillId="39" borderId="13" xfId="0" applyFont="1" applyFill="1" applyBorder="1" applyAlignment="1">
      <alignment horizontal="center" vertical="center"/>
    </xf>
    <xf numFmtId="0" fontId="26" fillId="37" borderId="14" xfId="0" applyFont="1" applyFill="1" applyBorder="1" applyAlignment="1">
      <alignment horizontal="center" vertical="center"/>
    </xf>
    <xf numFmtId="0" fontId="26" fillId="37" borderId="15" xfId="0" applyFont="1" applyFill="1" applyBorder="1" applyAlignment="1">
      <alignment horizontal="center" vertical="center"/>
    </xf>
    <xf numFmtId="0" fontId="26" fillId="37" borderId="16" xfId="0" applyFont="1" applyFill="1" applyBorder="1" applyAlignment="1">
      <alignment horizontal="center" vertical="center"/>
    </xf>
    <xf numFmtId="0" fontId="26" fillId="37" borderId="17" xfId="0" applyFont="1" applyFill="1" applyBorder="1" applyAlignment="1">
      <alignment horizontal="center" vertical="center"/>
    </xf>
    <xf numFmtId="0" fontId="26" fillId="37" borderId="18" xfId="0" applyFont="1" applyFill="1" applyBorder="1" applyAlignment="1">
      <alignment horizontal="center" vertical="center"/>
    </xf>
    <xf numFmtId="0" fontId="26" fillId="37" borderId="19" xfId="0" applyFont="1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center" vertical="center"/>
    </xf>
    <xf numFmtId="0" fontId="20" fillId="35" borderId="13" xfId="0" applyFont="1" applyFill="1" applyBorder="1" applyAlignment="1">
      <alignment horizontal="center" vertical="center"/>
    </xf>
    <xf numFmtId="0" fontId="20" fillId="35" borderId="12" xfId="0" applyFont="1" applyFill="1" applyBorder="1" applyAlignment="1">
      <alignment horizontal="center" vertical="center"/>
    </xf>
    <xf numFmtId="0" fontId="20" fillId="38" borderId="11" xfId="0" applyFont="1" applyFill="1" applyBorder="1" applyAlignment="1">
      <alignment horizontal="center"/>
    </xf>
    <xf numFmtId="0" fontId="20" fillId="38" borderId="12" xfId="0" applyFont="1" applyFill="1" applyBorder="1" applyAlignment="1">
      <alignment horizontal="center"/>
    </xf>
    <xf numFmtId="0" fontId="20" fillId="39" borderId="12" xfId="0" applyFont="1" applyFill="1" applyBorder="1" applyAlignment="1">
      <alignment horizontal="center" vertical="center"/>
    </xf>
    <xf numFmtId="0" fontId="25" fillId="0" borderId="11" xfId="0" applyFont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23" fillId="35" borderId="10" xfId="0" applyFont="1" applyFill="1" applyBorder="1" applyAlignment="1">
      <alignment horizontal="center" vertical="center"/>
    </xf>
    <xf numFmtId="2" fontId="16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1" fillId="35" borderId="0" xfId="0" applyFont="1" applyFill="1" applyAlignment="1">
      <alignment horizontal="center" vertical="center"/>
    </xf>
    <xf numFmtId="0" fontId="29" fillId="35" borderId="0" xfId="0" applyFont="1" applyFill="1" applyAlignment="1">
      <alignment horizontal="center" vertical="center"/>
    </xf>
    <xf numFmtId="0" fontId="24" fillId="35" borderId="10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left"/>
    </xf>
    <xf numFmtId="0" fontId="19" fillId="0" borderId="10" xfId="0" applyFont="1" applyBorder="1" applyAlignment="1">
      <alignment horizontal="left"/>
    </xf>
    <xf numFmtId="0" fontId="20" fillId="0" borderId="10" xfId="0" applyFont="1" applyBorder="1" applyAlignment="1">
      <alignment horizontal="left"/>
    </xf>
    <xf numFmtId="0" fontId="26" fillId="41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alignment horizontal="center" vertical="center" textRotation="0" wrapText="0" indent="0" relativeIndent="0" justifyLastLine="0" shrinkToFit="0" mergeCell="0" readingOrder="0"/>
    </dxf>
    <dxf>
      <numFmt numFmtId="19" formatCode="dd/mm/yy"/>
    </dxf>
    <dxf>
      <alignment horizontal="center" vertical="center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relativeIndent="0" justifyLastLine="0" shrinkToFit="0" mergeCell="0" readingOrder="0"/>
    </dxf>
    <dxf>
      <numFmt numFmtId="19" formatCode="dd/mm/yy"/>
    </dxf>
    <dxf>
      <alignment horizontal="center" vertical="center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chart>
    <c:plotArea>
      <c:layout>
        <c:manualLayout>
          <c:layoutTarget val="inner"/>
          <c:xMode val="edge"/>
          <c:yMode val="edge"/>
          <c:x val="0.17072440944881889"/>
          <c:y val="0"/>
          <c:w val="0.74815069991251093"/>
          <c:h val="0.6872047244094488"/>
        </c:manualLayout>
      </c:layout>
      <c:barChart>
        <c:barDir val="bar"/>
        <c:grouping val="clustered"/>
        <c:ser>
          <c:idx val="0"/>
          <c:order val="0"/>
          <c:dLbls>
            <c:showVal val="1"/>
          </c:dLbls>
          <c:cat>
            <c:strRef>
              <c:f>'Basic Analysis'!$B$22:$B$25</c:f>
              <c:strCache>
                <c:ptCount val="4"/>
                <c:pt idx="0">
                  <c:v>Category</c:v>
                </c:pt>
                <c:pt idx="1">
                  <c:v>Beauty</c:v>
                </c:pt>
                <c:pt idx="2">
                  <c:v>Clothing</c:v>
                </c:pt>
                <c:pt idx="3">
                  <c:v>Electronics</c:v>
                </c:pt>
              </c:strCache>
            </c:strRef>
          </c:cat>
          <c:val>
            <c:numRef>
              <c:f>'Basic Analysis'!$C$22:$C$25</c:f>
              <c:numCache>
                <c:formatCode>General</c:formatCode>
                <c:ptCount val="4"/>
              </c:numCache>
            </c:numRef>
          </c:val>
        </c:ser>
        <c:ser>
          <c:idx val="1"/>
          <c:order val="1"/>
          <c:dLbls>
            <c:showVal val="1"/>
          </c:dLbls>
          <c:cat>
            <c:strRef>
              <c:f>'Basic Analysis'!$B$22:$B$25</c:f>
              <c:strCache>
                <c:ptCount val="4"/>
                <c:pt idx="0">
                  <c:v>Category</c:v>
                </c:pt>
                <c:pt idx="1">
                  <c:v>Beauty</c:v>
                </c:pt>
                <c:pt idx="2">
                  <c:v>Clothing</c:v>
                </c:pt>
                <c:pt idx="3">
                  <c:v>Electronics</c:v>
                </c:pt>
              </c:strCache>
            </c:strRef>
          </c:cat>
          <c:val>
            <c:numRef>
              <c:f>'Basic Analysis'!$D$22:$D$25</c:f>
              <c:numCache>
                <c:formatCode>General</c:formatCode>
                <c:ptCount val="4"/>
                <c:pt idx="0">
                  <c:v>0</c:v>
                </c:pt>
                <c:pt idx="1">
                  <c:v>143275</c:v>
                </c:pt>
                <c:pt idx="2">
                  <c:v>155465</c:v>
                </c:pt>
                <c:pt idx="3">
                  <c:v>156805</c:v>
                </c:pt>
              </c:numCache>
            </c:numRef>
          </c:val>
        </c:ser>
        <c:ser>
          <c:idx val="2"/>
          <c:order val="2"/>
          <c:dLbls>
            <c:showVal val="1"/>
          </c:dLbls>
          <c:cat>
            <c:strRef>
              <c:f>'Basic Analysis'!$B$22:$B$25</c:f>
              <c:strCache>
                <c:ptCount val="4"/>
                <c:pt idx="0">
                  <c:v>Category</c:v>
                </c:pt>
                <c:pt idx="1">
                  <c:v>Beauty</c:v>
                </c:pt>
                <c:pt idx="2">
                  <c:v>Clothing</c:v>
                </c:pt>
                <c:pt idx="3">
                  <c:v>Electronics</c:v>
                </c:pt>
              </c:strCache>
            </c:strRef>
          </c:cat>
          <c:val>
            <c:numRef>
              <c:f>'Basic Analysis'!$E$22:$E$25</c:f>
              <c:numCache>
                <c:formatCode>General</c:formatCode>
                <c:ptCount val="4"/>
              </c:numCache>
            </c:numRef>
          </c:val>
        </c:ser>
        <c:dLbls>
          <c:showVal val="1"/>
        </c:dLbls>
        <c:gapWidth val="75"/>
        <c:axId val="39183872"/>
        <c:axId val="39185792"/>
      </c:barChart>
      <c:catAx>
        <c:axId val="39183872"/>
        <c:scaling>
          <c:orientation val="minMax"/>
        </c:scaling>
        <c:axPos val="l"/>
        <c:majorTickMark val="none"/>
        <c:tickLblPos val="nextTo"/>
        <c:crossAx val="39185792"/>
        <c:crosses val="autoZero"/>
        <c:auto val="1"/>
        <c:lblAlgn val="ctr"/>
        <c:lblOffset val="100"/>
      </c:catAx>
      <c:valAx>
        <c:axId val="39185792"/>
        <c:scaling>
          <c:orientation val="minMax"/>
        </c:scaling>
        <c:axPos val="b"/>
        <c:numFmt formatCode="General" sourceLinked="1"/>
        <c:majorTickMark val="none"/>
        <c:tickLblPos val="nextTo"/>
        <c:crossAx val="39183872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'Basic Analysis'!$B$32:$B$35</c:f>
              <c:strCache>
                <c:ptCount val="4"/>
                <c:pt idx="0">
                  <c:v>Category</c:v>
                </c:pt>
                <c:pt idx="1">
                  <c:v>Beauty</c:v>
                </c:pt>
                <c:pt idx="2">
                  <c:v>Clothing</c:v>
                </c:pt>
                <c:pt idx="3">
                  <c:v>Electronics</c:v>
                </c:pt>
              </c:strCache>
            </c:strRef>
          </c:cat>
          <c:val>
            <c:numRef>
              <c:f>'Basic Analysis'!$C$32:$C$35</c:f>
              <c:numCache>
                <c:formatCode>General</c:formatCode>
                <c:ptCount val="4"/>
              </c:numCache>
            </c:numRef>
          </c:val>
        </c:ser>
        <c:ser>
          <c:idx val="1"/>
          <c:order val="1"/>
          <c:cat>
            <c:strRef>
              <c:f>'Basic Analysis'!$B$32:$B$35</c:f>
              <c:strCache>
                <c:ptCount val="4"/>
                <c:pt idx="0">
                  <c:v>Category</c:v>
                </c:pt>
                <c:pt idx="1">
                  <c:v>Beauty</c:v>
                </c:pt>
                <c:pt idx="2">
                  <c:v>Clothing</c:v>
                </c:pt>
                <c:pt idx="3">
                  <c:v>Electronics</c:v>
                </c:pt>
              </c:strCache>
            </c:strRef>
          </c:cat>
          <c:val>
            <c:numRef>
              <c:f>'Basic Analysis'!$D$32:$D$35</c:f>
              <c:numCache>
                <c:formatCode>General</c:formatCode>
                <c:ptCount val="4"/>
                <c:pt idx="0">
                  <c:v>0</c:v>
                </c:pt>
                <c:pt idx="1">
                  <c:v>764</c:v>
                </c:pt>
                <c:pt idx="2">
                  <c:v>890</c:v>
                </c:pt>
                <c:pt idx="3">
                  <c:v>845</c:v>
                </c:pt>
              </c:numCache>
            </c:numRef>
          </c:val>
        </c:ser>
        <c:ser>
          <c:idx val="2"/>
          <c:order val="2"/>
          <c:cat>
            <c:strRef>
              <c:f>'Basic Analysis'!$B$32:$B$35</c:f>
              <c:strCache>
                <c:ptCount val="4"/>
                <c:pt idx="0">
                  <c:v>Category</c:v>
                </c:pt>
                <c:pt idx="1">
                  <c:v>Beauty</c:v>
                </c:pt>
                <c:pt idx="2">
                  <c:v>Clothing</c:v>
                </c:pt>
                <c:pt idx="3">
                  <c:v>Electronics</c:v>
                </c:pt>
              </c:strCache>
            </c:strRef>
          </c:cat>
          <c:val>
            <c:numRef>
              <c:f>'Basic Analysis'!$E$32:$E$35</c:f>
              <c:numCache>
                <c:formatCode>General</c:formatCode>
                <c:ptCount val="4"/>
              </c:numCache>
            </c:numRef>
          </c:val>
        </c:ser>
        <c:axId val="85867904"/>
        <c:axId val="85902464"/>
      </c:barChart>
      <c:catAx>
        <c:axId val="85867904"/>
        <c:scaling>
          <c:orientation val="minMax"/>
        </c:scaling>
        <c:axPos val="b"/>
        <c:tickLblPos val="nextTo"/>
        <c:crossAx val="85902464"/>
        <c:crosses val="autoZero"/>
        <c:auto val="1"/>
        <c:lblAlgn val="ctr"/>
        <c:lblOffset val="100"/>
      </c:catAx>
      <c:valAx>
        <c:axId val="85902464"/>
        <c:scaling>
          <c:orientation val="minMax"/>
        </c:scaling>
        <c:axPos val="l"/>
        <c:majorGridlines/>
        <c:numFmt formatCode="General" sourceLinked="1"/>
        <c:tickLblPos val="nextTo"/>
        <c:crossAx val="85867904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pieChart>
        <c:varyColors val="1"/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6</xdr:row>
      <xdr:rowOff>28574</xdr:rowOff>
    </xdr:from>
    <xdr:to>
      <xdr:col>16</xdr:col>
      <xdr:colOff>676275</xdr:colOff>
      <xdr:row>27</xdr:row>
      <xdr:rowOff>171449</xdr:rowOff>
    </xdr:to>
    <xdr:pic>
      <xdr:nvPicPr>
        <xdr:cNvPr id="2" name="Picture 1" descr="tamount large to smal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7375" y="1219199"/>
          <a:ext cx="9363075" cy="4143375"/>
        </a:xfrm>
        <a:prstGeom prst="rect">
          <a:avLst/>
        </a:prstGeom>
      </xdr:spPr>
    </xdr:pic>
    <xdr:clientData/>
  </xdr:twoCellAnchor>
  <xdr:twoCellAnchor editAs="oneCell">
    <xdr:from>
      <xdr:col>2</xdr:col>
      <xdr:colOff>597487</xdr:colOff>
      <xdr:row>30</xdr:row>
      <xdr:rowOff>54897</xdr:rowOff>
    </xdr:from>
    <xdr:to>
      <xdr:col>16</xdr:col>
      <xdr:colOff>561976</xdr:colOff>
      <xdr:row>53</xdr:row>
      <xdr:rowOff>133351</xdr:rowOff>
    </xdr:to>
    <xdr:pic>
      <xdr:nvPicPr>
        <xdr:cNvPr id="3" name="Picture 2" descr="tamount small to larg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16687" y="6055647"/>
          <a:ext cx="9289464" cy="4459954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55</xdr:row>
      <xdr:rowOff>285750</xdr:rowOff>
    </xdr:from>
    <xdr:to>
      <xdr:col>16</xdr:col>
      <xdr:colOff>657225</xdr:colOff>
      <xdr:row>79</xdr:row>
      <xdr:rowOff>19050</xdr:rowOff>
    </xdr:to>
    <xdr:pic>
      <xdr:nvPicPr>
        <xdr:cNvPr id="4" name="Picture 3" descr="filter by clothe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57375" y="11049000"/>
          <a:ext cx="9344025" cy="4410075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81</xdr:row>
      <xdr:rowOff>28575</xdr:rowOff>
    </xdr:from>
    <xdr:to>
      <xdr:col>17</xdr:col>
      <xdr:colOff>152400</xdr:colOff>
      <xdr:row>104</xdr:row>
      <xdr:rowOff>19050</xdr:rowOff>
    </xdr:to>
    <xdr:pic>
      <xdr:nvPicPr>
        <xdr:cNvPr id="5" name="Picture 4" descr="filter by female tran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38325" y="15992475"/>
          <a:ext cx="9591675" cy="4371975"/>
        </a:xfrm>
        <a:prstGeom prst="rect">
          <a:avLst/>
        </a:prstGeom>
      </xdr:spPr>
    </xdr:pic>
    <xdr:clientData/>
  </xdr:twoCellAnchor>
  <xdr:twoCellAnchor editAs="oneCell">
    <xdr:from>
      <xdr:col>2</xdr:col>
      <xdr:colOff>590550</xdr:colOff>
      <xdr:row>107</xdr:row>
      <xdr:rowOff>76200</xdr:rowOff>
    </xdr:from>
    <xdr:to>
      <xdr:col>17</xdr:col>
      <xdr:colOff>83500</xdr:colOff>
      <xdr:row>131</xdr:row>
      <xdr:rowOff>66675</xdr:rowOff>
    </xdr:to>
    <xdr:pic>
      <xdr:nvPicPr>
        <xdr:cNvPr id="7" name="Picture 6" descr="2 greater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09750" y="21097875"/>
          <a:ext cx="9551350" cy="45624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134</xdr:row>
      <xdr:rowOff>0</xdr:rowOff>
    </xdr:from>
    <xdr:to>
      <xdr:col>14</xdr:col>
      <xdr:colOff>239205</xdr:colOff>
      <xdr:row>160</xdr:row>
      <xdr:rowOff>19744</xdr:rowOff>
    </xdr:to>
    <xdr:pic>
      <xdr:nvPicPr>
        <xdr:cNvPr id="8" name="Picture 7" descr="age small to greater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28800" y="26269950"/>
          <a:ext cx="7735380" cy="49727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9</xdr:row>
      <xdr:rowOff>38100</xdr:rowOff>
    </xdr:from>
    <xdr:to>
      <xdr:col>9</xdr:col>
      <xdr:colOff>466725</xdr:colOff>
      <xdr:row>23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38099</xdr:colOff>
      <xdr:row>27</xdr:row>
      <xdr:rowOff>9525</xdr:rowOff>
    </xdr:from>
    <xdr:to>
      <xdr:col>9</xdr:col>
      <xdr:colOff>600074</xdr:colOff>
      <xdr:row>42</xdr:row>
      <xdr:rowOff>180975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</xdr:colOff>
      <xdr:row>45</xdr:row>
      <xdr:rowOff>180975</xdr:rowOff>
    </xdr:from>
    <xdr:to>
      <xdr:col>9</xdr:col>
      <xdr:colOff>323850</xdr:colOff>
      <xdr:row>60</xdr:row>
      <xdr:rowOff>66675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4" name="Table4" displayName="Table4" ref="A1:L1001" totalsRowShown="0" headerRowDxfId="10">
  <autoFilter ref="A1:L1001">
    <filterColumn colId="6">
      <customFilters>
        <customFilter operator="greaterThan" val="2"/>
      </customFilters>
    </filterColumn>
    <filterColumn colId="8"/>
    <filterColumn colId="10"/>
    <filterColumn colId="11"/>
  </autoFilter>
  <sortState ref="A2:L1001">
    <sortCondition ref="E1:E1001"/>
  </sortState>
  <tableColumns count="12">
    <tableColumn id="1" name="Transaction ID" dataDxfId="9"/>
    <tableColumn id="2" name="Date" dataDxfId="8"/>
    <tableColumn id="3" name="Customer ID"/>
    <tableColumn id="4" name="Gender"/>
    <tableColumn id="5" name="Age"/>
    <tableColumn id="6" name="Product Category" dataDxfId="7"/>
    <tableColumn id="7" name="Quantity"/>
    <tableColumn id="8" name="Price per Unit"/>
    <tableColumn id="12" name="Calculated Total" dataDxfId="6">
      <calculatedColumnFormula>Table4[[#This Row],[Quantity]]*Table4[[#This Row],[Price per Unit]]</calculatedColumnFormula>
    </tableColumn>
    <tableColumn id="9" name="Total Amount"/>
    <tableColumn id="14" name="Amount Check " dataDxfId="5">
      <calculatedColumnFormula>IF(Table4[[#This Row],[Total Amount]]=Table4[[#This Row],[Calculated Total]],"Correct","Check")</calculatedColumnFormula>
    </tableColumn>
    <tableColumn id="15" name="Column1" dataDxfId="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5" name="Table46" displayName="Table46" ref="A1:I1001" totalsRowShown="0" headerRowDxfId="3">
  <autoFilter ref="A1:I1001"/>
  <tableColumns count="9">
    <tableColumn id="1" name="Transaction ID" dataDxfId="2"/>
    <tableColumn id="2" name="Date" dataDxfId="1"/>
    <tableColumn id="3" name="Customer ID"/>
    <tableColumn id="4" name="Gender"/>
    <tableColumn id="5" name="Age"/>
    <tableColumn id="6" name="Product Category" dataDxfId="0"/>
    <tableColumn id="7" name="Quantity"/>
    <tableColumn id="8" name="Price per Unit"/>
    <tableColumn id="9" name="Total 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>
      <selection activeCell="A1001" sqref="A1:I1001"/>
    </sheetView>
  </sheetViews>
  <sheetFormatPr defaultRowHeight="15"/>
  <cols>
    <col min="1" max="1" width="13.5703125" bestFit="1" customWidth="1"/>
    <col min="2" max="2" width="12" customWidth="1"/>
    <col min="3" max="3" width="15.42578125" customWidth="1"/>
    <col min="4" max="4" width="10.7109375" customWidth="1"/>
    <col min="5" max="5" width="11.140625" customWidth="1"/>
    <col min="6" max="6" width="16.42578125" customWidth="1"/>
    <col min="7" max="7" width="11.5703125" customWidth="1"/>
    <col min="8" max="8" width="15.140625" customWidth="1"/>
    <col min="9" max="9" width="1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F1:N11"/>
  <sheetViews>
    <sheetView topLeftCell="C1" workbookViewId="0">
      <selection activeCell="K10" sqref="K10:M10"/>
    </sheetView>
  </sheetViews>
  <sheetFormatPr defaultRowHeight="15"/>
  <cols>
    <col min="5" max="5" width="7.5703125" customWidth="1"/>
    <col min="10" max="10" width="39.28515625" customWidth="1"/>
    <col min="12" max="12" width="40.85546875" customWidth="1"/>
  </cols>
  <sheetData>
    <row r="1" spans="6:14" ht="15" customHeight="1">
      <c r="F1" s="22" t="s">
        <v>1014</v>
      </c>
      <c r="G1" s="22"/>
      <c r="H1" s="22"/>
      <c r="I1" s="22"/>
      <c r="J1" s="22"/>
      <c r="K1" s="22"/>
      <c r="L1" s="22"/>
      <c r="M1" s="22"/>
    </row>
    <row r="2" spans="6:14" ht="15" customHeight="1">
      <c r="F2" s="22"/>
      <c r="G2" s="22"/>
      <c r="H2" s="22"/>
      <c r="I2" s="22"/>
      <c r="J2" s="22"/>
      <c r="K2" s="22"/>
      <c r="L2" s="22"/>
      <c r="M2" s="22"/>
    </row>
    <row r="3" spans="6:14" ht="15" customHeight="1">
      <c r="F3" s="22"/>
      <c r="G3" s="22"/>
      <c r="H3" s="22"/>
      <c r="I3" s="22"/>
      <c r="J3" s="22"/>
      <c r="K3" s="22"/>
      <c r="L3" s="22"/>
      <c r="M3" s="22"/>
    </row>
    <row r="4" spans="6:14" ht="24.75" customHeight="1">
      <c r="F4" s="24" t="s">
        <v>1016</v>
      </c>
      <c r="G4" s="24"/>
      <c r="H4" s="24"/>
      <c r="I4" s="24"/>
      <c r="J4" s="24"/>
      <c r="K4" s="25" t="s">
        <v>1017</v>
      </c>
      <c r="L4" s="25"/>
      <c r="M4" s="25"/>
    </row>
    <row r="5" spans="6:14" ht="27.75" customHeight="1">
      <c r="F5" s="23" t="s">
        <v>1015</v>
      </c>
      <c r="G5" s="23"/>
      <c r="H5" s="23"/>
      <c r="I5" s="23"/>
      <c r="J5" s="23"/>
      <c r="K5" s="23">
        <v>1000</v>
      </c>
      <c r="L5" s="23"/>
      <c r="M5" s="23"/>
      <c r="N5" s="4"/>
    </row>
    <row r="6" spans="6:14" ht="28.5" customHeight="1">
      <c r="F6" s="23" t="s">
        <v>1018</v>
      </c>
      <c r="G6" s="23"/>
      <c r="H6" s="23"/>
      <c r="I6" s="23"/>
      <c r="J6" s="23"/>
      <c r="K6" s="23">
        <v>9</v>
      </c>
      <c r="L6" s="23"/>
      <c r="M6" s="23"/>
      <c r="N6" s="4"/>
    </row>
    <row r="7" spans="6:14" ht="27" customHeight="1">
      <c r="F7" s="23" t="s">
        <v>1019</v>
      </c>
      <c r="G7" s="23"/>
      <c r="H7" s="23"/>
      <c r="I7" s="23"/>
      <c r="J7" s="23"/>
      <c r="K7" s="23" t="s">
        <v>1</v>
      </c>
      <c r="L7" s="23"/>
      <c r="M7" s="23"/>
      <c r="N7" s="4"/>
    </row>
    <row r="8" spans="6:14" ht="27.75" customHeight="1">
      <c r="F8" s="23" t="s">
        <v>1020</v>
      </c>
      <c r="G8" s="23"/>
      <c r="H8" s="23"/>
      <c r="I8" s="23"/>
      <c r="J8" s="23"/>
      <c r="K8" s="23" t="s">
        <v>1021</v>
      </c>
      <c r="L8" s="23"/>
      <c r="M8" s="23"/>
      <c r="N8" s="4"/>
    </row>
    <row r="9" spans="6:14" ht="28.5" customHeight="1">
      <c r="F9" s="23" t="s">
        <v>1022</v>
      </c>
      <c r="G9" s="23"/>
      <c r="H9" s="23"/>
      <c r="I9" s="23"/>
      <c r="J9" s="23"/>
      <c r="K9" s="23" t="s">
        <v>1023</v>
      </c>
      <c r="L9" s="23"/>
      <c r="M9" s="23"/>
      <c r="N9" s="4"/>
    </row>
    <row r="10" spans="6:14" ht="28.5" customHeight="1">
      <c r="F10" s="23" t="s">
        <v>1024</v>
      </c>
      <c r="G10" s="23"/>
      <c r="H10" s="23"/>
      <c r="I10" s="23"/>
      <c r="J10" s="23"/>
      <c r="K10" s="23" t="s">
        <v>1025</v>
      </c>
      <c r="L10" s="23"/>
      <c r="M10" s="23"/>
      <c r="N10" s="4"/>
    </row>
    <row r="11" spans="6:14" ht="33.75" customHeight="1">
      <c r="F11" s="23" t="s">
        <v>1026</v>
      </c>
      <c r="G11" s="23"/>
      <c r="H11" s="23"/>
      <c r="I11" s="23"/>
      <c r="J11" s="23"/>
      <c r="K11" s="23" t="s">
        <v>1027</v>
      </c>
      <c r="L11" s="23"/>
      <c r="M11" s="23"/>
      <c r="N11" s="23"/>
    </row>
  </sheetData>
  <mergeCells count="17">
    <mergeCell ref="K10:M10"/>
    <mergeCell ref="F10:J10"/>
    <mergeCell ref="F11:J11"/>
    <mergeCell ref="K11:N11"/>
    <mergeCell ref="K4:M4"/>
    <mergeCell ref="F9:J9"/>
    <mergeCell ref="K9:M9"/>
    <mergeCell ref="F1:M3"/>
    <mergeCell ref="K5:M5"/>
    <mergeCell ref="K6:M6"/>
    <mergeCell ref="K7:M7"/>
    <mergeCell ref="K8:M8"/>
    <mergeCell ref="F5:J5"/>
    <mergeCell ref="F8:J8"/>
    <mergeCell ref="F6:J6"/>
    <mergeCell ref="F7:J7"/>
    <mergeCell ref="F4:J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001"/>
  <sheetViews>
    <sheetView zoomScale="90" zoomScaleNormal="90" workbookViewId="0">
      <pane ySplit="1" topLeftCell="A937" activePane="bottomLeft" state="frozen"/>
      <selection pane="bottomLeft" activeCell="G1" sqref="G1"/>
    </sheetView>
  </sheetViews>
  <sheetFormatPr defaultRowHeight="15"/>
  <cols>
    <col min="1" max="1" width="22.28515625" style="2" bestFit="1" customWidth="1"/>
    <col min="2" max="2" width="12.42578125" customWidth="1"/>
    <col min="3" max="3" width="17.7109375" bestFit="1" customWidth="1"/>
    <col min="4" max="4" width="12" bestFit="1" customWidth="1"/>
    <col min="5" max="5" width="8" bestFit="1" customWidth="1"/>
    <col min="6" max="6" width="25.7109375" style="2" customWidth="1"/>
    <col min="7" max="7" width="13.5703125" bestFit="1" customWidth="1"/>
    <col min="8" max="8" width="19.28515625" bestFit="1" customWidth="1"/>
    <col min="9" max="9" width="23.140625" customWidth="1"/>
    <col min="10" max="10" width="19.42578125" customWidth="1"/>
    <col min="11" max="11" width="21" customWidth="1"/>
    <col min="12" max="12" width="20.42578125" customWidth="1"/>
  </cols>
  <sheetData>
    <row r="1" spans="1:14" ht="18.75">
      <c r="A1" s="3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3" t="s">
        <v>5</v>
      </c>
      <c r="G1" s="5" t="s">
        <v>6</v>
      </c>
      <c r="H1" s="7" t="s">
        <v>7</v>
      </c>
      <c r="I1" s="9" t="s">
        <v>1036</v>
      </c>
      <c r="J1" s="7" t="s">
        <v>8</v>
      </c>
      <c r="K1" s="10" t="s">
        <v>1037</v>
      </c>
      <c r="L1" s="10" t="s">
        <v>1035</v>
      </c>
      <c r="M1" s="7"/>
    </row>
    <row r="2" spans="1:14">
      <c r="A2" s="2">
        <v>595</v>
      </c>
      <c r="B2" s="1">
        <v>45239</v>
      </c>
      <c r="C2" t="s">
        <v>608</v>
      </c>
      <c r="D2" t="s">
        <v>13</v>
      </c>
      <c r="E2">
        <v>18</v>
      </c>
      <c r="F2" s="2" t="s">
        <v>14</v>
      </c>
      <c r="G2">
        <v>4</v>
      </c>
      <c r="H2">
        <v>500</v>
      </c>
      <c r="I2" s="8">
        <f>Table4[[#This Row],[Quantity]]*Table4[[#This Row],[Price per Unit]]</f>
        <v>2000</v>
      </c>
      <c r="J2">
        <v>2000</v>
      </c>
      <c r="K2" s="8" t="str">
        <f>IF(Table4[[#This Row],[Total Amount]]=Table4[[#This Row],[Calculated Total]],"Correct","Check")</f>
        <v>Correct</v>
      </c>
      <c r="L2" s="8"/>
    </row>
    <row r="3" spans="1:14">
      <c r="A3" s="2">
        <v>74</v>
      </c>
      <c r="B3" s="1">
        <v>45252</v>
      </c>
      <c r="C3" t="s">
        <v>87</v>
      </c>
      <c r="D3" t="s">
        <v>13</v>
      </c>
      <c r="E3">
        <v>18</v>
      </c>
      <c r="F3" s="2" t="s">
        <v>11</v>
      </c>
      <c r="G3">
        <v>4</v>
      </c>
      <c r="H3">
        <v>500</v>
      </c>
      <c r="I3" s="8">
        <f>Table4[[#This Row],[Quantity]]*Table4[[#This Row],[Price per Unit]]</f>
        <v>2000</v>
      </c>
      <c r="J3">
        <v>2000</v>
      </c>
      <c r="K3" s="8" t="str">
        <f>IF(Table4[[#This Row],[Total Amount]]=Table4[[#This Row],[Calculated Total]],"Correct","Check")</f>
        <v>Correct</v>
      </c>
      <c r="L3" s="8"/>
    </row>
    <row r="4" spans="1:14">
      <c r="A4" s="2">
        <v>169</v>
      </c>
      <c r="B4" s="1">
        <v>45247</v>
      </c>
      <c r="C4" t="s">
        <v>182</v>
      </c>
      <c r="D4" t="s">
        <v>10</v>
      </c>
      <c r="E4">
        <v>18</v>
      </c>
      <c r="F4" s="2" t="s">
        <v>11</v>
      </c>
      <c r="G4">
        <v>3</v>
      </c>
      <c r="H4">
        <v>500</v>
      </c>
      <c r="I4" s="8">
        <f>Table4[[#This Row],[Quantity]]*Table4[[#This Row],[Price per Unit]]</f>
        <v>1500</v>
      </c>
      <c r="J4">
        <v>1500</v>
      </c>
      <c r="K4" s="8" t="str">
        <f>IF(Table4[[#This Row],[Total Amount]]=Table4[[#This Row],[Calculated Total]],"Correct","Check")</f>
        <v>Correct</v>
      </c>
      <c r="L4" s="8"/>
    </row>
    <row r="5" spans="1:14">
      <c r="A5" s="2">
        <v>58</v>
      </c>
      <c r="B5" s="1">
        <v>45243</v>
      </c>
      <c r="C5" t="s">
        <v>71</v>
      </c>
      <c r="D5" t="s">
        <v>10</v>
      </c>
      <c r="E5">
        <v>18</v>
      </c>
      <c r="F5" s="2" t="s">
        <v>14</v>
      </c>
      <c r="G5">
        <v>4</v>
      </c>
      <c r="H5">
        <v>300</v>
      </c>
      <c r="I5" s="8">
        <f>Table4[[#This Row],[Quantity]]*Table4[[#This Row],[Price per Unit]]</f>
        <v>1200</v>
      </c>
      <c r="J5">
        <v>1200</v>
      </c>
      <c r="K5" s="8" t="str">
        <f>IF(Table4[[#This Row],[Total Amount]]=Table4[[#This Row],[Calculated Total]],"Correct","Check")</f>
        <v>Correct</v>
      </c>
      <c r="L5" s="8"/>
    </row>
    <row r="6" spans="1:14">
      <c r="A6" s="2">
        <v>847</v>
      </c>
      <c r="B6" s="1">
        <v>45024</v>
      </c>
      <c r="C6" t="s">
        <v>860</v>
      </c>
      <c r="D6" t="s">
        <v>13</v>
      </c>
      <c r="E6">
        <v>18</v>
      </c>
      <c r="F6" s="2" t="s">
        <v>16</v>
      </c>
      <c r="G6">
        <v>4</v>
      </c>
      <c r="H6">
        <v>300</v>
      </c>
      <c r="I6" s="8">
        <f>Table4[[#This Row],[Quantity]]*Table4[[#This Row],[Price per Unit]]</f>
        <v>1200</v>
      </c>
      <c r="J6">
        <v>1200</v>
      </c>
      <c r="K6" s="8" t="str">
        <f>IF(Table4[[#This Row],[Total Amount]]=Table4[[#This Row],[Calculated Total]],"Correct","Check")</f>
        <v>Correct</v>
      </c>
      <c r="L6" s="8"/>
    </row>
    <row r="7" spans="1:14" hidden="1">
      <c r="A7" s="2">
        <v>461</v>
      </c>
      <c r="B7" s="1">
        <v>45010</v>
      </c>
      <c r="C7" t="s">
        <v>474</v>
      </c>
      <c r="D7" t="s">
        <v>13</v>
      </c>
      <c r="E7">
        <v>18</v>
      </c>
      <c r="F7" s="2" t="s">
        <v>11</v>
      </c>
      <c r="G7">
        <v>2</v>
      </c>
      <c r="H7">
        <v>500</v>
      </c>
      <c r="I7" s="8">
        <f>Table4[[#This Row],[Quantity]]*Table4[[#This Row],[Price per Unit]]</f>
        <v>1000</v>
      </c>
      <c r="J7">
        <v>1000</v>
      </c>
      <c r="K7" s="8" t="str">
        <f>IF(Table4[[#This Row],[Total Amount]]=Table4[[#This Row],[Calculated Total]],"Correct","Check")</f>
        <v>Correct</v>
      </c>
      <c r="L7" s="8"/>
      <c r="N7" s="2"/>
    </row>
    <row r="8" spans="1:14" hidden="1">
      <c r="A8" s="2">
        <v>283</v>
      </c>
      <c r="B8" s="1">
        <v>45054</v>
      </c>
      <c r="C8" t="s">
        <v>296</v>
      </c>
      <c r="D8" t="s">
        <v>13</v>
      </c>
      <c r="E8">
        <v>18</v>
      </c>
      <c r="F8" s="2" t="s">
        <v>16</v>
      </c>
      <c r="G8">
        <v>1</v>
      </c>
      <c r="H8">
        <v>500</v>
      </c>
      <c r="I8" s="8">
        <f>Table4[[#This Row],[Quantity]]*Table4[[#This Row],[Price per Unit]]</f>
        <v>500</v>
      </c>
      <c r="J8">
        <v>500</v>
      </c>
      <c r="K8" s="8" t="str">
        <f>IF(Table4[[#This Row],[Total Amount]]=Table4[[#This Row],[Calculated Total]],"Correct","Check")</f>
        <v>Correct</v>
      </c>
      <c r="L8" s="8"/>
    </row>
    <row r="9" spans="1:14" hidden="1">
      <c r="A9" s="2">
        <v>714</v>
      </c>
      <c r="B9" s="1">
        <v>44969</v>
      </c>
      <c r="C9" t="s">
        <v>727</v>
      </c>
      <c r="D9" t="s">
        <v>13</v>
      </c>
      <c r="E9">
        <v>18</v>
      </c>
      <c r="F9" s="2" t="s">
        <v>14</v>
      </c>
      <c r="G9">
        <v>1</v>
      </c>
      <c r="H9">
        <v>500</v>
      </c>
      <c r="I9" s="8">
        <f>Table4[[#This Row],[Quantity]]*Table4[[#This Row],[Price per Unit]]</f>
        <v>500</v>
      </c>
      <c r="J9">
        <v>500</v>
      </c>
      <c r="K9" s="8" t="str">
        <f>IF(Table4[[#This Row],[Total Amount]]=Table4[[#This Row],[Calculated Total]],"Correct","Check")</f>
        <v>Correct</v>
      </c>
      <c r="L9" s="8"/>
    </row>
    <row r="10" spans="1:14" hidden="1">
      <c r="A10" s="2">
        <v>514</v>
      </c>
      <c r="B10" s="1">
        <v>44986</v>
      </c>
      <c r="C10" t="s">
        <v>527</v>
      </c>
      <c r="D10" t="s">
        <v>13</v>
      </c>
      <c r="E10">
        <v>18</v>
      </c>
      <c r="F10" s="2" t="s">
        <v>16</v>
      </c>
      <c r="G10">
        <v>1</v>
      </c>
      <c r="H10">
        <v>300</v>
      </c>
      <c r="I10" s="8">
        <f>Table4[[#This Row],[Quantity]]*Table4[[#This Row],[Price per Unit]]</f>
        <v>300</v>
      </c>
      <c r="J10">
        <v>300</v>
      </c>
      <c r="K10" s="8" t="str">
        <f>IF(Table4[[#This Row],[Total Amount]]=Table4[[#This Row],[Calculated Total]],"Correct","Check")</f>
        <v>Correct</v>
      </c>
      <c r="L10" s="8"/>
    </row>
    <row r="11" spans="1:14">
      <c r="A11" s="2">
        <v>538</v>
      </c>
      <c r="B11" s="1">
        <v>45186</v>
      </c>
      <c r="C11" t="s">
        <v>551</v>
      </c>
      <c r="D11" t="s">
        <v>10</v>
      </c>
      <c r="E11">
        <v>18</v>
      </c>
      <c r="F11" s="2" t="s">
        <v>14</v>
      </c>
      <c r="G11">
        <v>3</v>
      </c>
      <c r="H11">
        <v>50</v>
      </c>
      <c r="I11" s="8">
        <f>Table4[[#This Row],[Quantity]]*Table4[[#This Row],[Price per Unit]]</f>
        <v>150</v>
      </c>
      <c r="J11">
        <v>150</v>
      </c>
      <c r="K11" s="8" t="str">
        <f>IF(Table4[[#This Row],[Total Amount]]=Table4[[#This Row],[Calculated Total]],"Correct","Check")</f>
        <v>Correct</v>
      </c>
      <c r="L11" s="8"/>
    </row>
    <row r="12" spans="1:14">
      <c r="A12" s="2">
        <v>530</v>
      </c>
      <c r="B12" s="1">
        <v>44962</v>
      </c>
      <c r="C12" t="s">
        <v>543</v>
      </c>
      <c r="D12" t="s">
        <v>13</v>
      </c>
      <c r="E12">
        <v>18</v>
      </c>
      <c r="F12" s="2" t="s">
        <v>16</v>
      </c>
      <c r="G12">
        <v>4</v>
      </c>
      <c r="H12">
        <v>30</v>
      </c>
      <c r="I12" s="8">
        <f>Table4[[#This Row],[Quantity]]*Table4[[#This Row],[Price per Unit]]</f>
        <v>120</v>
      </c>
      <c r="J12">
        <v>120</v>
      </c>
      <c r="K12" s="8" t="str">
        <f>IF(Table4[[#This Row],[Total Amount]]=Table4[[#This Row],[Calculated Total]],"Correct","Check")</f>
        <v>Correct</v>
      </c>
      <c r="L12" s="8"/>
    </row>
    <row r="13" spans="1:14" hidden="1">
      <c r="A13" s="2">
        <v>22</v>
      </c>
      <c r="B13" s="1">
        <v>45214</v>
      </c>
      <c r="C13" t="s">
        <v>35</v>
      </c>
      <c r="D13" t="s">
        <v>10</v>
      </c>
      <c r="E13">
        <v>18</v>
      </c>
      <c r="F13" s="2" t="s">
        <v>14</v>
      </c>
      <c r="G13">
        <v>2</v>
      </c>
      <c r="H13">
        <v>50</v>
      </c>
      <c r="I13" s="8">
        <f>Table4[[#This Row],[Quantity]]*Table4[[#This Row],[Price per Unit]]</f>
        <v>100</v>
      </c>
      <c r="J13">
        <v>100</v>
      </c>
      <c r="K13" s="8" t="str">
        <f>IF(Table4[[#This Row],[Total Amount]]=Table4[[#This Row],[Calculated Total]],"Correct","Check")</f>
        <v>Correct</v>
      </c>
      <c r="L13" s="8"/>
    </row>
    <row r="14" spans="1:14" hidden="1">
      <c r="A14" s="2">
        <v>62</v>
      </c>
      <c r="B14" s="1">
        <v>45287</v>
      </c>
      <c r="C14" t="s">
        <v>75</v>
      </c>
      <c r="D14" t="s">
        <v>10</v>
      </c>
      <c r="E14">
        <v>18</v>
      </c>
      <c r="F14" s="2" t="s">
        <v>11</v>
      </c>
      <c r="G14">
        <v>2</v>
      </c>
      <c r="H14">
        <v>50</v>
      </c>
      <c r="I14" s="8">
        <f>Table4[[#This Row],[Quantity]]*Table4[[#This Row],[Price per Unit]]</f>
        <v>100</v>
      </c>
      <c r="J14">
        <v>100</v>
      </c>
      <c r="K14" s="8" t="str">
        <f>IF(Table4[[#This Row],[Total Amount]]=Table4[[#This Row],[Calculated Total]],"Correct","Check")</f>
        <v>Correct</v>
      </c>
      <c r="L14" s="8"/>
    </row>
    <row r="15" spans="1:14">
      <c r="A15" s="2">
        <v>679</v>
      </c>
      <c r="B15" s="1">
        <v>44937</v>
      </c>
      <c r="C15" t="s">
        <v>692</v>
      </c>
      <c r="D15" t="s">
        <v>13</v>
      </c>
      <c r="E15">
        <v>18</v>
      </c>
      <c r="F15" s="2" t="s">
        <v>11</v>
      </c>
      <c r="G15">
        <v>3</v>
      </c>
      <c r="H15">
        <v>30</v>
      </c>
      <c r="I15" s="8">
        <f>Table4[[#This Row],[Quantity]]*Table4[[#This Row],[Price per Unit]]</f>
        <v>90</v>
      </c>
      <c r="J15">
        <v>90</v>
      </c>
      <c r="K15" s="8" t="str">
        <f>IF(Table4[[#This Row],[Total Amount]]=Table4[[#This Row],[Calculated Total]],"Correct","Check")</f>
        <v>Correct</v>
      </c>
      <c r="L15" s="8"/>
    </row>
    <row r="16" spans="1:14">
      <c r="A16" s="2">
        <v>837</v>
      </c>
      <c r="B16" s="1">
        <v>45108</v>
      </c>
      <c r="C16" t="s">
        <v>850</v>
      </c>
      <c r="D16" t="s">
        <v>10</v>
      </c>
      <c r="E16">
        <v>18</v>
      </c>
      <c r="F16" s="2" t="s">
        <v>11</v>
      </c>
      <c r="G16">
        <v>3</v>
      </c>
      <c r="H16">
        <v>30</v>
      </c>
      <c r="I16" s="8">
        <f>Table4[[#This Row],[Quantity]]*Table4[[#This Row],[Price per Unit]]</f>
        <v>90</v>
      </c>
      <c r="J16">
        <v>90</v>
      </c>
      <c r="K16" s="8" t="str">
        <f>IF(Table4[[#This Row],[Total Amount]]=Table4[[#This Row],[Calculated Total]],"Correct","Check")</f>
        <v>Correct</v>
      </c>
      <c r="L16" s="8"/>
    </row>
    <row r="17" spans="1:12">
      <c r="A17" s="2">
        <v>37</v>
      </c>
      <c r="B17" s="1">
        <v>45069</v>
      </c>
      <c r="C17" t="s">
        <v>50</v>
      </c>
      <c r="D17" t="s">
        <v>13</v>
      </c>
      <c r="E17">
        <v>18</v>
      </c>
      <c r="F17" s="2" t="s">
        <v>11</v>
      </c>
      <c r="G17">
        <v>3</v>
      </c>
      <c r="H17">
        <v>25</v>
      </c>
      <c r="I17" s="8">
        <f>Table4[[#This Row],[Quantity]]*Table4[[#This Row],[Price per Unit]]</f>
        <v>75</v>
      </c>
      <c r="J17">
        <v>75</v>
      </c>
      <c r="K17" s="8" t="str">
        <f>IF(Table4[[#This Row],[Total Amount]]=Table4[[#This Row],[Calculated Total]],"Correct","Check")</f>
        <v>Correct</v>
      </c>
      <c r="L17" s="8"/>
    </row>
    <row r="18" spans="1:12">
      <c r="A18" s="2">
        <v>469</v>
      </c>
      <c r="B18" s="1">
        <v>45054</v>
      </c>
      <c r="C18" t="s">
        <v>482</v>
      </c>
      <c r="D18" t="s">
        <v>10</v>
      </c>
      <c r="E18">
        <v>18</v>
      </c>
      <c r="F18" s="2" t="s">
        <v>11</v>
      </c>
      <c r="G18">
        <v>3</v>
      </c>
      <c r="H18">
        <v>25</v>
      </c>
      <c r="I18" s="8">
        <f>Table4[[#This Row],[Quantity]]*Table4[[#This Row],[Price per Unit]]</f>
        <v>75</v>
      </c>
      <c r="J18">
        <v>75</v>
      </c>
      <c r="K18" s="8" t="str">
        <f>IF(Table4[[#This Row],[Total Amount]]=Table4[[#This Row],[Calculated Total]],"Correct","Check")</f>
        <v>Correct</v>
      </c>
      <c r="L18" s="8"/>
    </row>
    <row r="19" spans="1:12">
      <c r="A19" s="2">
        <v>326</v>
      </c>
      <c r="B19" s="1">
        <v>45184</v>
      </c>
      <c r="C19" t="s">
        <v>339</v>
      </c>
      <c r="D19" t="s">
        <v>13</v>
      </c>
      <c r="E19">
        <v>18</v>
      </c>
      <c r="F19" s="2" t="s">
        <v>14</v>
      </c>
      <c r="G19">
        <v>3</v>
      </c>
      <c r="H19">
        <v>25</v>
      </c>
      <c r="I19" s="8">
        <f>Table4[[#This Row],[Quantity]]*Table4[[#This Row],[Price per Unit]]</f>
        <v>75</v>
      </c>
      <c r="J19">
        <v>75</v>
      </c>
      <c r="K19" s="8" t="str">
        <f>IF(Table4[[#This Row],[Total Amount]]=Table4[[#This Row],[Calculated Total]],"Correct","Check")</f>
        <v>Correct</v>
      </c>
      <c r="L19" s="8"/>
    </row>
    <row r="20" spans="1:12" hidden="1">
      <c r="A20" s="2">
        <v>148</v>
      </c>
      <c r="B20" s="1">
        <v>45055</v>
      </c>
      <c r="C20" t="s">
        <v>161</v>
      </c>
      <c r="D20" t="s">
        <v>10</v>
      </c>
      <c r="E20">
        <v>18</v>
      </c>
      <c r="F20" s="2" t="s">
        <v>14</v>
      </c>
      <c r="G20">
        <v>2</v>
      </c>
      <c r="H20">
        <v>30</v>
      </c>
      <c r="I20" s="8">
        <f>Table4[[#This Row],[Quantity]]*Table4[[#This Row],[Price per Unit]]</f>
        <v>60</v>
      </c>
      <c r="J20">
        <v>60</v>
      </c>
      <c r="K20" s="8" t="str">
        <f>IF(Table4[[#This Row],[Total Amount]]=Table4[[#This Row],[Calculated Total]],"Correct","Check")</f>
        <v>Correct</v>
      </c>
      <c r="L20" s="8"/>
    </row>
    <row r="21" spans="1:12" hidden="1">
      <c r="A21" s="2">
        <v>556</v>
      </c>
      <c r="B21" s="1">
        <v>45081</v>
      </c>
      <c r="C21" t="s">
        <v>569</v>
      </c>
      <c r="D21" t="s">
        <v>13</v>
      </c>
      <c r="E21">
        <v>18</v>
      </c>
      <c r="F21" s="2" t="s">
        <v>16</v>
      </c>
      <c r="G21">
        <v>1</v>
      </c>
      <c r="H21">
        <v>50</v>
      </c>
      <c r="I21" s="8">
        <f>Table4[[#This Row],[Quantity]]*Table4[[#This Row],[Price per Unit]]</f>
        <v>50</v>
      </c>
      <c r="J21">
        <v>50</v>
      </c>
      <c r="K21" s="8" t="str">
        <f>IF(Table4[[#This Row],[Total Amount]]=Table4[[#This Row],[Calculated Total]],"Correct","Check")</f>
        <v>Correct</v>
      </c>
      <c r="L21" s="8"/>
    </row>
    <row r="22" spans="1:12" hidden="1">
      <c r="A22" s="2">
        <v>305</v>
      </c>
      <c r="B22" s="1">
        <v>45062</v>
      </c>
      <c r="C22" t="s">
        <v>318</v>
      </c>
      <c r="D22" t="s">
        <v>13</v>
      </c>
      <c r="E22">
        <v>18</v>
      </c>
      <c r="F22" s="2" t="s">
        <v>11</v>
      </c>
      <c r="G22">
        <v>1</v>
      </c>
      <c r="H22">
        <v>30</v>
      </c>
      <c r="I22" s="8">
        <f>Table4[[#This Row],[Quantity]]*Table4[[#This Row],[Price per Unit]]</f>
        <v>30</v>
      </c>
      <c r="J22">
        <v>30</v>
      </c>
      <c r="K22" s="8" t="str">
        <f>IF(Table4[[#This Row],[Total Amount]]=Table4[[#This Row],[Calculated Total]],"Correct","Check")</f>
        <v>Correct</v>
      </c>
      <c r="L22" s="8"/>
    </row>
    <row r="23" spans="1:12">
      <c r="A23" s="2">
        <v>257</v>
      </c>
      <c r="B23" s="1">
        <v>44976</v>
      </c>
      <c r="C23" t="s">
        <v>270</v>
      </c>
      <c r="D23" t="s">
        <v>10</v>
      </c>
      <c r="E23">
        <v>19</v>
      </c>
      <c r="F23" s="2" t="s">
        <v>11</v>
      </c>
      <c r="G23">
        <v>4</v>
      </c>
      <c r="H23">
        <v>500</v>
      </c>
      <c r="I23" s="8">
        <f>Table4[[#This Row],[Quantity]]*Table4[[#This Row],[Price per Unit]]</f>
        <v>2000</v>
      </c>
      <c r="J23">
        <v>2000</v>
      </c>
      <c r="K23" s="8" t="str">
        <f>IF(Table4[[#This Row],[Total Amount]]=Table4[[#This Row],[Calculated Total]],"Correct","Check")</f>
        <v>Correct</v>
      </c>
      <c r="L23" s="8"/>
    </row>
    <row r="24" spans="1:12">
      <c r="A24" s="2">
        <v>412</v>
      </c>
      <c r="B24" s="1">
        <v>45185</v>
      </c>
      <c r="C24" t="s">
        <v>425</v>
      </c>
      <c r="D24" t="s">
        <v>13</v>
      </c>
      <c r="E24">
        <v>19</v>
      </c>
      <c r="F24" s="2" t="s">
        <v>16</v>
      </c>
      <c r="G24">
        <v>4</v>
      </c>
      <c r="H24">
        <v>500</v>
      </c>
      <c r="I24" s="8">
        <f>Table4[[#This Row],[Quantity]]*Table4[[#This Row],[Price per Unit]]</f>
        <v>2000</v>
      </c>
      <c r="J24">
        <v>2000</v>
      </c>
      <c r="K24" s="8" t="str">
        <f>IF(Table4[[#This Row],[Total Amount]]=Table4[[#This Row],[Calculated Total]],"Correct","Check")</f>
        <v>Correct</v>
      </c>
      <c r="L24" s="8"/>
    </row>
    <row r="25" spans="1:12">
      <c r="A25" s="2">
        <v>16</v>
      </c>
      <c r="B25" s="1">
        <v>44974</v>
      </c>
      <c r="C25" t="s">
        <v>29</v>
      </c>
      <c r="D25" t="s">
        <v>10</v>
      </c>
      <c r="E25">
        <v>19</v>
      </c>
      <c r="F25" s="2" t="s">
        <v>14</v>
      </c>
      <c r="G25">
        <v>3</v>
      </c>
      <c r="H25">
        <v>500</v>
      </c>
      <c r="I25" s="8">
        <f>Table4[[#This Row],[Quantity]]*Table4[[#This Row],[Price per Unit]]</f>
        <v>1500</v>
      </c>
      <c r="J25">
        <v>1500</v>
      </c>
      <c r="K25" s="8" t="str">
        <f>IF(Table4[[#This Row],[Total Amount]]=Table4[[#This Row],[Calculated Total]],"Correct","Check")</f>
        <v>Correct</v>
      </c>
      <c r="L25" s="8"/>
    </row>
    <row r="26" spans="1:12">
      <c r="A26" s="2">
        <v>533</v>
      </c>
      <c r="B26" s="1">
        <v>45246</v>
      </c>
      <c r="C26" t="s">
        <v>546</v>
      </c>
      <c r="D26" t="s">
        <v>10</v>
      </c>
      <c r="E26">
        <v>19</v>
      </c>
      <c r="F26" s="2" t="s">
        <v>16</v>
      </c>
      <c r="G26">
        <v>3</v>
      </c>
      <c r="H26">
        <v>500</v>
      </c>
      <c r="I26" s="8">
        <f>Table4[[#This Row],[Quantity]]*Table4[[#This Row],[Price per Unit]]</f>
        <v>1500</v>
      </c>
      <c r="J26">
        <v>1500</v>
      </c>
      <c r="K26" s="8" t="str">
        <f>IF(Table4[[#This Row],[Total Amount]]=Table4[[#This Row],[Calculated Total]],"Correct","Check")</f>
        <v>Correct</v>
      </c>
      <c r="L26" s="8"/>
    </row>
    <row r="27" spans="1:12">
      <c r="A27" s="2">
        <v>677</v>
      </c>
      <c r="B27" s="1">
        <v>45226</v>
      </c>
      <c r="C27" t="s">
        <v>690</v>
      </c>
      <c r="D27" t="s">
        <v>13</v>
      </c>
      <c r="E27">
        <v>19</v>
      </c>
      <c r="F27" s="2" t="s">
        <v>11</v>
      </c>
      <c r="G27">
        <v>3</v>
      </c>
      <c r="H27">
        <v>500</v>
      </c>
      <c r="I27" s="8">
        <f>Table4[[#This Row],[Quantity]]*Table4[[#This Row],[Price per Unit]]</f>
        <v>1500</v>
      </c>
      <c r="J27">
        <v>1500</v>
      </c>
      <c r="K27" s="8" t="str">
        <f>IF(Table4[[#This Row],[Total Amount]]=Table4[[#This Row],[Calculated Total]],"Correct","Check")</f>
        <v>Correct</v>
      </c>
      <c r="L27" s="8"/>
    </row>
    <row r="28" spans="1:12">
      <c r="A28" s="2">
        <v>484</v>
      </c>
      <c r="B28" s="1">
        <v>44939</v>
      </c>
      <c r="C28" t="s">
        <v>497</v>
      </c>
      <c r="D28" t="s">
        <v>13</v>
      </c>
      <c r="E28">
        <v>19</v>
      </c>
      <c r="F28" s="2" t="s">
        <v>14</v>
      </c>
      <c r="G28">
        <v>4</v>
      </c>
      <c r="H28">
        <v>300</v>
      </c>
      <c r="I28" s="8">
        <f>Table4[[#This Row],[Quantity]]*Table4[[#This Row],[Price per Unit]]</f>
        <v>1200</v>
      </c>
      <c r="J28">
        <v>1200</v>
      </c>
      <c r="K28" s="8" t="str">
        <f>IF(Table4[[#This Row],[Total Amount]]=Table4[[#This Row],[Calculated Total]],"Correct","Check")</f>
        <v>Correct</v>
      </c>
      <c r="L28" s="8"/>
    </row>
    <row r="29" spans="1:12">
      <c r="A29" s="2">
        <v>181</v>
      </c>
      <c r="B29" s="1">
        <v>45233</v>
      </c>
      <c r="C29" t="s">
        <v>194</v>
      </c>
      <c r="D29" t="s">
        <v>10</v>
      </c>
      <c r="E29">
        <v>19</v>
      </c>
      <c r="F29" s="2" t="s">
        <v>16</v>
      </c>
      <c r="G29">
        <v>4</v>
      </c>
      <c r="H29">
        <v>300</v>
      </c>
      <c r="I29" s="8">
        <f>Table4[[#This Row],[Quantity]]*Table4[[#This Row],[Price per Unit]]</f>
        <v>1200</v>
      </c>
      <c r="J29">
        <v>1200</v>
      </c>
      <c r="K29" s="8" t="str">
        <f>IF(Table4[[#This Row],[Total Amount]]=Table4[[#This Row],[Calculated Total]],"Correct","Check")</f>
        <v>Correct</v>
      </c>
      <c r="L29" s="8"/>
    </row>
    <row r="30" spans="1:12" hidden="1">
      <c r="A30" s="2">
        <v>117</v>
      </c>
      <c r="B30" s="1">
        <v>45000</v>
      </c>
      <c r="C30" t="s">
        <v>130</v>
      </c>
      <c r="D30" t="s">
        <v>10</v>
      </c>
      <c r="E30">
        <v>19</v>
      </c>
      <c r="F30" s="2" t="s">
        <v>16</v>
      </c>
      <c r="G30">
        <v>2</v>
      </c>
      <c r="H30">
        <v>500</v>
      </c>
      <c r="I30" s="8">
        <f>Table4[[#This Row],[Quantity]]*Table4[[#This Row],[Price per Unit]]</f>
        <v>1000</v>
      </c>
      <c r="J30">
        <v>1000</v>
      </c>
      <c r="K30" s="8" t="str">
        <f>IF(Table4[[#This Row],[Total Amount]]=Table4[[#This Row],[Calculated Total]],"Correct","Check")</f>
        <v>Correct</v>
      </c>
      <c r="L30" s="8"/>
    </row>
    <row r="31" spans="1:12" hidden="1">
      <c r="A31" s="2">
        <v>709</v>
      </c>
      <c r="B31" s="1">
        <v>45128</v>
      </c>
      <c r="C31" t="s">
        <v>722</v>
      </c>
      <c r="D31" t="s">
        <v>13</v>
      </c>
      <c r="E31">
        <v>19</v>
      </c>
      <c r="F31" s="2" t="s">
        <v>16</v>
      </c>
      <c r="G31">
        <v>2</v>
      </c>
      <c r="H31">
        <v>500</v>
      </c>
      <c r="I31" s="8">
        <f>Table4[[#This Row],[Quantity]]*Table4[[#This Row],[Price per Unit]]</f>
        <v>1000</v>
      </c>
      <c r="J31">
        <v>1000</v>
      </c>
      <c r="K31" s="8" t="str">
        <f>IF(Table4[[#This Row],[Total Amount]]=Table4[[#This Row],[Calculated Total]],"Correct","Check")</f>
        <v>Correct</v>
      </c>
      <c r="L31" s="8"/>
    </row>
    <row r="32" spans="1:12" hidden="1">
      <c r="A32" s="2">
        <v>594</v>
      </c>
      <c r="B32" s="1">
        <v>45170</v>
      </c>
      <c r="C32" t="s">
        <v>607</v>
      </c>
      <c r="D32" t="s">
        <v>13</v>
      </c>
      <c r="E32">
        <v>19</v>
      </c>
      <c r="F32" s="2" t="s">
        <v>16</v>
      </c>
      <c r="G32">
        <v>2</v>
      </c>
      <c r="H32">
        <v>300</v>
      </c>
      <c r="I32" s="8">
        <f>Table4[[#This Row],[Quantity]]*Table4[[#This Row],[Price per Unit]]</f>
        <v>600</v>
      </c>
      <c r="J32">
        <v>600</v>
      </c>
      <c r="K32" s="8" t="str">
        <f>IF(Table4[[#This Row],[Total Amount]]=Table4[[#This Row],[Calculated Total]],"Correct","Check")</f>
        <v>Correct</v>
      </c>
      <c r="L32" s="8"/>
    </row>
    <row r="33" spans="1:12" hidden="1">
      <c r="A33" s="2">
        <v>364</v>
      </c>
      <c r="B33" s="1">
        <v>45161</v>
      </c>
      <c r="C33" t="s">
        <v>377</v>
      </c>
      <c r="D33" t="s">
        <v>13</v>
      </c>
      <c r="E33">
        <v>19</v>
      </c>
      <c r="F33" s="2" t="s">
        <v>11</v>
      </c>
      <c r="G33">
        <v>1</v>
      </c>
      <c r="H33">
        <v>500</v>
      </c>
      <c r="I33" s="8">
        <f>Table4[[#This Row],[Quantity]]*Table4[[#This Row],[Price per Unit]]</f>
        <v>500</v>
      </c>
      <c r="J33">
        <v>500</v>
      </c>
      <c r="K33" s="8" t="str">
        <f>IF(Table4[[#This Row],[Total Amount]]=Table4[[#This Row],[Calculated Total]],"Correct","Check")</f>
        <v>Correct</v>
      </c>
      <c r="L33" s="8"/>
    </row>
    <row r="34" spans="1:12">
      <c r="A34" s="2">
        <v>300</v>
      </c>
      <c r="B34" s="1">
        <v>44957</v>
      </c>
      <c r="C34" t="s">
        <v>313</v>
      </c>
      <c r="D34" t="s">
        <v>13</v>
      </c>
      <c r="E34">
        <v>19</v>
      </c>
      <c r="F34" s="2" t="s">
        <v>16</v>
      </c>
      <c r="G34">
        <v>4</v>
      </c>
      <c r="H34">
        <v>50</v>
      </c>
      <c r="I34" s="8">
        <f>Table4[[#This Row],[Quantity]]*Table4[[#This Row],[Price per Unit]]</f>
        <v>200</v>
      </c>
      <c r="J34">
        <v>200</v>
      </c>
      <c r="K34" s="8" t="str">
        <f>IF(Table4[[#This Row],[Total Amount]]=Table4[[#This Row],[Calculated Total]],"Correct","Check")</f>
        <v>Correct</v>
      </c>
      <c r="L34" s="8"/>
    </row>
    <row r="35" spans="1:12">
      <c r="A35" s="2">
        <v>628</v>
      </c>
      <c r="B35" s="1">
        <v>45231</v>
      </c>
      <c r="C35" t="s">
        <v>641</v>
      </c>
      <c r="D35" t="s">
        <v>13</v>
      </c>
      <c r="E35">
        <v>19</v>
      </c>
      <c r="F35" s="2" t="s">
        <v>11</v>
      </c>
      <c r="G35">
        <v>4</v>
      </c>
      <c r="H35">
        <v>50</v>
      </c>
      <c r="I35" s="8">
        <f>Table4[[#This Row],[Quantity]]*Table4[[#This Row],[Price per Unit]]</f>
        <v>200</v>
      </c>
      <c r="J35">
        <v>200</v>
      </c>
      <c r="K35" s="8" t="str">
        <f>IF(Table4[[#This Row],[Total Amount]]=Table4[[#This Row],[Calculated Total]],"Correct","Check")</f>
        <v>Correct</v>
      </c>
      <c r="L35" s="8"/>
    </row>
    <row r="36" spans="1:12">
      <c r="A36" s="2">
        <v>86</v>
      </c>
      <c r="B36" s="1">
        <v>45238</v>
      </c>
      <c r="C36" t="s">
        <v>99</v>
      </c>
      <c r="D36" t="s">
        <v>10</v>
      </c>
      <c r="E36">
        <v>19</v>
      </c>
      <c r="F36" s="2" t="s">
        <v>11</v>
      </c>
      <c r="G36">
        <v>3</v>
      </c>
      <c r="H36">
        <v>30</v>
      </c>
      <c r="I36" s="8">
        <f>Table4[[#This Row],[Quantity]]*Table4[[#This Row],[Price per Unit]]</f>
        <v>90</v>
      </c>
      <c r="J36">
        <v>90</v>
      </c>
      <c r="K36" s="8" t="str">
        <f>IF(Table4[[#This Row],[Total Amount]]=Table4[[#This Row],[Calculated Total]],"Correct","Check")</f>
        <v>Correct</v>
      </c>
      <c r="L36" s="8"/>
    </row>
    <row r="37" spans="1:12">
      <c r="A37" s="2">
        <v>303</v>
      </c>
      <c r="B37" s="1">
        <v>44928</v>
      </c>
      <c r="C37" t="s">
        <v>316</v>
      </c>
      <c r="D37" t="s">
        <v>10</v>
      </c>
      <c r="E37">
        <v>19</v>
      </c>
      <c r="F37" s="2" t="s">
        <v>16</v>
      </c>
      <c r="G37">
        <v>3</v>
      </c>
      <c r="H37">
        <v>30</v>
      </c>
      <c r="I37" s="8">
        <f>Table4[[#This Row],[Quantity]]*Table4[[#This Row],[Price per Unit]]</f>
        <v>90</v>
      </c>
      <c r="J37">
        <v>90</v>
      </c>
      <c r="K37" s="8" t="str">
        <f>IF(Table4[[#This Row],[Total Amount]]=Table4[[#This Row],[Calculated Total]],"Correct","Check")</f>
        <v>Correct</v>
      </c>
      <c r="L37" s="8"/>
    </row>
    <row r="38" spans="1:12">
      <c r="A38" s="2">
        <v>812</v>
      </c>
      <c r="B38" s="1">
        <v>45242</v>
      </c>
      <c r="C38" t="s">
        <v>825</v>
      </c>
      <c r="D38" t="s">
        <v>10</v>
      </c>
      <c r="E38">
        <v>19</v>
      </c>
      <c r="F38" s="2" t="s">
        <v>16</v>
      </c>
      <c r="G38">
        <v>3</v>
      </c>
      <c r="H38">
        <v>25</v>
      </c>
      <c r="I38" s="8">
        <f>Table4[[#This Row],[Quantity]]*Table4[[#This Row],[Price per Unit]]</f>
        <v>75</v>
      </c>
      <c r="J38">
        <v>75</v>
      </c>
      <c r="K38" s="8" t="str">
        <f>IF(Table4[[#This Row],[Total Amount]]=Table4[[#This Row],[Calculated Total]],"Correct","Check")</f>
        <v>Correct</v>
      </c>
      <c r="L38" s="8"/>
    </row>
    <row r="39" spans="1:12" hidden="1">
      <c r="A39" s="2">
        <v>266</v>
      </c>
      <c r="B39" s="1">
        <v>45261</v>
      </c>
      <c r="C39" t="s">
        <v>279</v>
      </c>
      <c r="D39" t="s">
        <v>13</v>
      </c>
      <c r="E39">
        <v>19</v>
      </c>
      <c r="F39" s="2" t="s">
        <v>16</v>
      </c>
      <c r="G39">
        <v>2</v>
      </c>
      <c r="H39">
        <v>30</v>
      </c>
      <c r="I39" s="8">
        <f>Table4[[#This Row],[Quantity]]*Table4[[#This Row],[Price per Unit]]</f>
        <v>60</v>
      </c>
      <c r="J39">
        <v>60</v>
      </c>
      <c r="K39" s="8" t="str">
        <f>IF(Table4[[#This Row],[Total Amount]]=Table4[[#This Row],[Calculated Total]],"Correct","Check")</f>
        <v>Correct</v>
      </c>
      <c r="L39" s="8"/>
    </row>
    <row r="40" spans="1:12" hidden="1">
      <c r="A40" s="2">
        <v>391</v>
      </c>
      <c r="B40" s="1">
        <v>44931</v>
      </c>
      <c r="C40" t="s">
        <v>404</v>
      </c>
      <c r="D40" t="s">
        <v>10</v>
      </c>
      <c r="E40">
        <v>19</v>
      </c>
      <c r="F40" s="2" t="s">
        <v>11</v>
      </c>
      <c r="G40">
        <v>2</v>
      </c>
      <c r="H40">
        <v>25</v>
      </c>
      <c r="I40" s="8">
        <f>Table4[[#This Row],[Quantity]]*Table4[[#This Row],[Price per Unit]]</f>
        <v>50</v>
      </c>
      <c r="J40">
        <v>50</v>
      </c>
      <c r="K40" s="8" t="str">
        <f>IF(Table4[[#This Row],[Total Amount]]=Table4[[#This Row],[Calculated Total]],"Correct","Check")</f>
        <v>Correct</v>
      </c>
      <c r="L40" s="8"/>
    </row>
    <row r="41" spans="1:12" hidden="1">
      <c r="A41" s="2">
        <v>985</v>
      </c>
      <c r="B41" s="1">
        <v>45076</v>
      </c>
      <c r="C41" t="s">
        <v>998</v>
      </c>
      <c r="D41" t="s">
        <v>13</v>
      </c>
      <c r="E41">
        <v>19</v>
      </c>
      <c r="F41" s="2" t="s">
        <v>16</v>
      </c>
      <c r="G41">
        <v>2</v>
      </c>
      <c r="H41">
        <v>25</v>
      </c>
      <c r="I41" s="8">
        <f>Table4[[#This Row],[Quantity]]*Table4[[#This Row],[Price per Unit]]</f>
        <v>50</v>
      </c>
      <c r="J41">
        <v>50</v>
      </c>
      <c r="K41" s="8" t="str">
        <f>IF(Table4[[#This Row],[Total Amount]]=Table4[[#This Row],[Calculated Total]],"Correct","Check")</f>
        <v>Correct</v>
      </c>
      <c r="L41" s="8"/>
    </row>
    <row r="42" spans="1:12" hidden="1">
      <c r="A42" s="2">
        <v>601</v>
      </c>
      <c r="B42" s="1">
        <v>45026</v>
      </c>
      <c r="C42" t="s">
        <v>614</v>
      </c>
      <c r="D42" t="s">
        <v>10</v>
      </c>
      <c r="E42">
        <v>19</v>
      </c>
      <c r="F42" s="2" t="s">
        <v>14</v>
      </c>
      <c r="G42">
        <v>1</v>
      </c>
      <c r="H42">
        <v>30</v>
      </c>
      <c r="I42" s="8">
        <f>Table4[[#This Row],[Quantity]]*Table4[[#This Row],[Price per Unit]]</f>
        <v>30</v>
      </c>
      <c r="J42">
        <v>30</v>
      </c>
      <c r="K42" s="8" t="str">
        <f>IF(Table4[[#This Row],[Total Amount]]=Table4[[#This Row],[Calculated Total]],"Correct","Check")</f>
        <v>Correct</v>
      </c>
      <c r="L42" s="8"/>
    </row>
    <row r="43" spans="1:12" hidden="1">
      <c r="A43" s="2">
        <v>979</v>
      </c>
      <c r="B43" s="1">
        <v>44928</v>
      </c>
      <c r="C43" t="s">
        <v>992</v>
      </c>
      <c r="D43" t="s">
        <v>13</v>
      </c>
      <c r="E43">
        <v>19</v>
      </c>
      <c r="F43" s="2" t="s">
        <v>11</v>
      </c>
      <c r="G43">
        <v>1</v>
      </c>
      <c r="H43">
        <v>25</v>
      </c>
      <c r="I43" s="8">
        <f>Table4[[#This Row],[Quantity]]*Table4[[#This Row],[Price per Unit]]</f>
        <v>25</v>
      </c>
      <c r="J43">
        <v>25</v>
      </c>
      <c r="K43" s="8" t="str">
        <f>IF(Table4[[#This Row],[Total Amount]]=Table4[[#This Row],[Calculated Total]],"Correct","Check")</f>
        <v>Correct</v>
      </c>
      <c r="L43" s="8"/>
    </row>
    <row r="44" spans="1:12">
      <c r="A44" s="2">
        <v>72</v>
      </c>
      <c r="B44" s="1">
        <v>45069</v>
      </c>
      <c r="C44" t="s">
        <v>85</v>
      </c>
      <c r="D44" t="s">
        <v>13</v>
      </c>
      <c r="E44">
        <v>20</v>
      </c>
      <c r="F44" s="2" t="s">
        <v>16</v>
      </c>
      <c r="G44">
        <v>4</v>
      </c>
      <c r="H44">
        <v>500</v>
      </c>
      <c r="I44" s="8">
        <f>Table4[[#This Row],[Quantity]]*Table4[[#This Row],[Price per Unit]]</f>
        <v>2000</v>
      </c>
      <c r="J44">
        <v>2000</v>
      </c>
      <c r="K44" s="8" t="str">
        <f>IF(Table4[[#This Row],[Total Amount]]=Table4[[#This Row],[Calculated Total]],"Correct","Check")</f>
        <v>Correct</v>
      </c>
      <c r="L44" s="8"/>
    </row>
    <row r="45" spans="1:12">
      <c r="A45" s="2">
        <v>46</v>
      </c>
      <c r="B45" s="1">
        <v>45103</v>
      </c>
      <c r="C45" t="s">
        <v>59</v>
      </c>
      <c r="D45" t="s">
        <v>13</v>
      </c>
      <c r="E45">
        <v>20</v>
      </c>
      <c r="F45" s="2" t="s">
        <v>16</v>
      </c>
      <c r="G45">
        <v>4</v>
      </c>
      <c r="H45">
        <v>300</v>
      </c>
      <c r="I45" s="8">
        <f>Table4[[#This Row],[Quantity]]*Table4[[#This Row],[Price per Unit]]</f>
        <v>1200</v>
      </c>
      <c r="J45">
        <v>1200</v>
      </c>
      <c r="K45" s="8" t="str">
        <f>IF(Table4[[#This Row],[Total Amount]]=Table4[[#This Row],[Calculated Total]],"Correct","Check")</f>
        <v>Correct</v>
      </c>
      <c r="L45" s="8"/>
    </row>
    <row r="46" spans="1:12">
      <c r="A46" s="2">
        <v>292</v>
      </c>
      <c r="B46" s="1">
        <v>44974</v>
      </c>
      <c r="C46" t="s">
        <v>305</v>
      </c>
      <c r="D46" t="s">
        <v>10</v>
      </c>
      <c r="E46">
        <v>20</v>
      </c>
      <c r="F46" s="2" t="s">
        <v>11</v>
      </c>
      <c r="G46">
        <v>4</v>
      </c>
      <c r="H46">
        <v>300</v>
      </c>
      <c r="I46" s="8">
        <f>Table4[[#This Row],[Quantity]]*Table4[[#This Row],[Price per Unit]]</f>
        <v>1200</v>
      </c>
      <c r="J46">
        <v>1200</v>
      </c>
      <c r="K46" s="8" t="str">
        <f>IF(Table4[[#This Row],[Total Amount]]=Table4[[#This Row],[Calculated Total]],"Correct","Check")</f>
        <v>Correct</v>
      </c>
      <c r="L46" s="8"/>
    </row>
    <row r="47" spans="1:12">
      <c r="A47" s="2">
        <v>839</v>
      </c>
      <c r="B47" s="1">
        <v>45101</v>
      </c>
      <c r="C47" t="s">
        <v>852</v>
      </c>
      <c r="D47" t="s">
        <v>13</v>
      </c>
      <c r="E47">
        <v>20</v>
      </c>
      <c r="F47" s="2" t="s">
        <v>16</v>
      </c>
      <c r="G47">
        <v>4</v>
      </c>
      <c r="H47">
        <v>300</v>
      </c>
      <c r="I47" s="8">
        <f>Table4[[#This Row],[Quantity]]*Table4[[#This Row],[Price per Unit]]</f>
        <v>1200</v>
      </c>
      <c r="J47">
        <v>1200</v>
      </c>
      <c r="K47" s="8" t="str">
        <f>IF(Table4[[#This Row],[Total Amount]]=Table4[[#This Row],[Calculated Total]],"Correct","Check")</f>
        <v>Correct</v>
      </c>
      <c r="L47" s="8"/>
    </row>
    <row r="48" spans="1:12">
      <c r="A48" s="2">
        <v>133</v>
      </c>
      <c r="B48" s="1">
        <v>44973</v>
      </c>
      <c r="C48" t="s">
        <v>146</v>
      </c>
      <c r="D48" t="s">
        <v>10</v>
      </c>
      <c r="E48">
        <v>20</v>
      </c>
      <c r="F48" s="2" t="s">
        <v>16</v>
      </c>
      <c r="G48">
        <v>3</v>
      </c>
      <c r="H48">
        <v>300</v>
      </c>
      <c r="I48" s="8">
        <f>Table4[[#This Row],[Quantity]]*Table4[[#This Row],[Price per Unit]]</f>
        <v>900</v>
      </c>
      <c r="J48">
        <v>900</v>
      </c>
      <c r="K48" s="8" t="str">
        <f>IF(Table4[[#This Row],[Total Amount]]=Table4[[#This Row],[Calculated Total]],"Correct","Check")</f>
        <v>Correct</v>
      </c>
      <c r="L48" s="8"/>
    </row>
    <row r="49" spans="1:12">
      <c r="A49" s="2">
        <v>722</v>
      </c>
      <c r="B49" s="1">
        <v>45121</v>
      </c>
      <c r="C49" t="s">
        <v>735</v>
      </c>
      <c r="D49" t="s">
        <v>10</v>
      </c>
      <c r="E49">
        <v>20</v>
      </c>
      <c r="F49" s="2" t="s">
        <v>11</v>
      </c>
      <c r="G49">
        <v>3</v>
      </c>
      <c r="H49">
        <v>300</v>
      </c>
      <c r="I49" s="8">
        <f>Table4[[#This Row],[Quantity]]*Table4[[#This Row],[Price per Unit]]</f>
        <v>900</v>
      </c>
      <c r="J49">
        <v>900</v>
      </c>
      <c r="K49" s="8" t="str">
        <f>IF(Table4[[#This Row],[Total Amount]]=Table4[[#This Row],[Calculated Total]],"Correct","Check")</f>
        <v>Correct</v>
      </c>
      <c r="L49" s="8"/>
    </row>
    <row r="50" spans="1:12" hidden="1">
      <c r="A50" s="2">
        <v>602</v>
      </c>
      <c r="B50" s="1">
        <v>45283</v>
      </c>
      <c r="C50" t="s">
        <v>615</v>
      </c>
      <c r="D50" t="s">
        <v>13</v>
      </c>
      <c r="E50">
        <v>20</v>
      </c>
      <c r="F50" s="2" t="s">
        <v>16</v>
      </c>
      <c r="G50">
        <v>1</v>
      </c>
      <c r="H50">
        <v>300</v>
      </c>
      <c r="I50" s="8">
        <f>Table4[[#This Row],[Quantity]]*Table4[[#This Row],[Price per Unit]]</f>
        <v>300</v>
      </c>
      <c r="J50">
        <v>300</v>
      </c>
      <c r="K50" s="8" t="str">
        <f>IF(Table4[[#This Row],[Total Amount]]=Table4[[#This Row],[Calculated Total]],"Correct","Check")</f>
        <v>Correct</v>
      </c>
      <c r="L50" s="8"/>
    </row>
    <row r="51" spans="1:12">
      <c r="A51" s="2">
        <v>186</v>
      </c>
      <c r="B51" s="1">
        <v>45112</v>
      </c>
      <c r="C51" t="s">
        <v>199</v>
      </c>
      <c r="D51" t="s">
        <v>10</v>
      </c>
      <c r="E51">
        <v>20</v>
      </c>
      <c r="F51" s="2" t="s">
        <v>14</v>
      </c>
      <c r="G51">
        <v>4</v>
      </c>
      <c r="H51">
        <v>50</v>
      </c>
      <c r="I51" s="8">
        <f>Table4[[#This Row],[Quantity]]*Table4[[#This Row],[Price per Unit]]</f>
        <v>200</v>
      </c>
      <c r="J51">
        <v>200</v>
      </c>
      <c r="K51" s="8" t="str">
        <f>IF(Table4[[#This Row],[Total Amount]]=Table4[[#This Row],[Calculated Total]],"Correct","Check")</f>
        <v>Correct</v>
      </c>
      <c r="L51" s="8"/>
    </row>
    <row r="52" spans="1:12">
      <c r="A52" s="2">
        <v>910</v>
      </c>
      <c r="B52" s="1">
        <v>44991</v>
      </c>
      <c r="C52" t="s">
        <v>923</v>
      </c>
      <c r="D52" t="s">
        <v>13</v>
      </c>
      <c r="E52">
        <v>20</v>
      </c>
      <c r="F52" s="2" t="s">
        <v>11</v>
      </c>
      <c r="G52">
        <v>3</v>
      </c>
      <c r="H52">
        <v>50</v>
      </c>
      <c r="I52" s="8">
        <f>Table4[[#This Row],[Quantity]]*Table4[[#This Row],[Price per Unit]]</f>
        <v>150</v>
      </c>
      <c r="J52">
        <v>150</v>
      </c>
      <c r="K52" s="8" t="str">
        <f>IF(Table4[[#This Row],[Total Amount]]=Table4[[#This Row],[Calculated Total]],"Correct","Check")</f>
        <v>Correct</v>
      </c>
      <c r="L52" s="8"/>
    </row>
    <row r="53" spans="1:12">
      <c r="A53" s="2">
        <v>557</v>
      </c>
      <c r="B53" s="1">
        <v>45134</v>
      </c>
      <c r="C53" t="s">
        <v>570</v>
      </c>
      <c r="D53" t="s">
        <v>13</v>
      </c>
      <c r="E53">
        <v>20</v>
      </c>
      <c r="F53" s="2" t="s">
        <v>11</v>
      </c>
      <c r="G53">
        <v>3</v>
      </c>
      <c r="H53">
        <v>30</v>
      </c>
      <c r="I53" s="8">
        <f>Table4[[#This Row],[Quantity]]*Table4[[#This Row],[Price per Unit]]</f>
        <v>90</v>
      </c>
      <c r="J53">
        <v>90</v>
      </c>
      <c r="K53" s="8" t="str">
        <f>IF(Table4[[#This Row],[Total Amount]]=Table4[[#This Row],[Calculated Total]],"Correct","Check")</f>
        <v>Correct</v>
      </c>
      <c r="L53" s="8"/>
    </row>
    <row r="54" spans="1:12" hidden="1">
      <c r="A54" s="2">
        <v>214</v>
      </c>
      <c r="B54" s="1">
        <v>45270</v>
      </c>
      <c r="C54" t="s">
        <v>227</v>
      </c>
      <c r="D54" t="s">
        <v>10</v>
      </c>
      <c r="E54">
        <v>20</v>
      </c>
      <c r="F54" s="2" t="s">
        <v>11</v>
      </c>
      <c r="G54">
        <v>2</v>
      </c>
      <c r="H54">
        <v>30</v>
      </c>
      <c r="I54" s="8">
        <f>Table4[[#This Row],[Quantity]]*Table4[[#This Row],[Price per Unit]]</f>
        <v>60</v>
      </c>
      <c r="J54">
        <v>60</v>
      </c>
      <c r="K54" s="8" t="str">
        <f>IF(Table4[[#This Row],[Total Amount]]=Table4[[#This Row],[Calculated Total]],"Correct","Check")</f>
        <v>Correct</v>
      </c>
      <c r="L54" s="8"/>
    </row>
    <row r="55" spans="1:12" hidden="1">
      <c r="A55" s="2">
        <v>563</v>
      </c>
      <c r="B55" s="1">
        <v>45147</v>
      </c>
      <c r="C55" t="s">
        <v>576</v>
      </c>
      <c r="D55" t="s">
        <v>10</v>
      </c>
      <c r="E55">
        <v>20</v>
      </c>
      <c r="F55" s="2" t="s">
        <v>14</v>
      </c>
      <c r="G55">
        <v>2</v>
      </c>
      <c r="H55">
        <v>30</v>
      </c>
      <c r="I55" s="8">
        <f>Table4[[#This Row],[Quantity]]*Table4[[#This Row],[Price per Unit]]</f>
        <v>60</v>
      </c>
      <c r="J55">
        <v>60</v>
      </c>
      <c r="K55" s="8" t="str">
        <f>IF(Table4[[#This Row],[Total Amount]]=Table4[[#This Row],[Calculated Total]],"Correct","Check")</f>
        <v>Correct</v>
      </c>
      <c r="L55" s="8"/>
    </row>
    <row r="56" spans="1:12" hidden="1">
      <c r="A56" s="2">
        <v>135</v>
      </c>
      <c r="B56" s="1">
        <v>44983</v>
      </c>
      <c r="C56" t="s">
        <v>148</v>
      </c>
      <c r="D56" t="s">
        <v>10</v>
      </c>
      <c r="E56">
        <v>20</v>
      </c>
      <c r="F56" s="2" t="s">
        <v>14</v>
      </c>
      <c r="G56">
        <v>2</v>
      </c>
      <c r="H56">
        <v>25</v>
      </c>
      <c r="I56" s="8">
        <f>Table4[[#This Row],[Quantity]]*Table4[[#This Row],[Price per Unit]]</f>
        <v>50</v>
      </c>
      <c r="J56">
        <v>50</v>
      </c>
      <c r="K56" s="8" t="str">
        <f>IF(Table4[[#This Row],[Total Amount]]=Table4[[#This Row],[Calculated Total]],"Correct","Check")</f>
        <v>Correct</v>
      </c>
      <c r="L56" s="8"/>
    </row>
    <row r="57" spans="1:12" hidden="1">
      <c r="A57" s="2">
        <v>542</v>
      </c>
      <c r="B57" s="1">
        <v>45094</v>
      </c>
      <c r="C57" t="s">
        <v>555</v>
      </c>
      <c r="D57" t="s">
        <v>13</v>
      </c>
      <c r="E57">
        <v>20</v>
      </c>
      <c r="F57" s="2" t="s">
        <v>11</v>
      </c>
      <c r="G57">
        <v>1</v>
      </c>
      <c r="H57">
        <v>50</v>
      </c>
      <c r="I57" s="8">
        <f>Table4[[#This Row],[Quantity]]*Table4[[#This Row],[Price per Unit]]</f>
        <v>50</v>
      </c>
      <c r="J57">
        <v>50</v>
      </c>
      <c r="K57" s="8" t="str">
        <f>IF(Table4[[#This Row],[Total Amount]]=Table4[[#This Row],[Calculated Total]],"Correct","Check")</f>
        <v>Correct</v>
      </c>
      <c r="L57" s="8"/>
    </row>
    <row r="58" spans="1:12" hidden="1">
      <c r="A58" s="2">
        <v>792</v>
      </c>
      <c r="B58" s="1">
        <v>45116</v>
      </c>
      <c r="C58" t="s">
        <v>805</v>
      </c>
      <c r="D58" t="s">
        <v>13</v>
      </c>
      <c r="E58">
        <v>20</v>
      </c>
      <c r="F58" s="2" t="s">
        <v>11</v>
      </c>
      <c r="G58">
        <v>1</v>
      </c>
      <c r="H58">
        <v>50</v>
      </c>
      <c r="I58" s="8">
        <f>Table4[[#This Row],[Quantity]]*Table4[[#This Row],[Price per Unit]]</f>
        <v>50</v>
      </c>
      <c r="J58">
        <v>50</v>
      </c>
      <c r="K58" s="8" t="str">
        <f>IF(Table4[[#This Row],[Total Amount]]=Table4[[#This Row],[Calculated Total]],"Correct","Check")</f>
        <v>Correct</v>
      </c>
      <c r="L58" s="8"/>
    </row>
    <row r="59" spans="1:12" hidden="1">
      <c r="A59" s="2">
        <v>892</v>
      </c>
      <c r="B59" s="1">
        <v>45025</v>
      </c>
      <c r="C59" t="s">
        <v>905</v>
      </c>
      <c r="D59" t="s">
        <v>10</v>
      </c>
      <c r="E59">
        <v>20</v>
      </c>
      <c r="F59" s="2" t="s">
        <v>16</v>
      </c>
      <c r="G59">
        <v>1</v>
      </c>
      <c r="H59">
        <v>50</v>
      </c>
      <c r="I59" s="8">
        <f>Table4[[#This Row],[Quantity]]*Table4[[#This Row],[Price per Unit]]</f>
        <v>50</v>
      </c>
      <c r="J59">
        <v>50</v>
      </c>
      <c r="K59" s="8" t="str">
        <f>IF(Table4[[#This Row],[Total Amount]]=Table4[[#This Row],[Calculated Total]],"Correct","Check")</f>
        <v>Correct</v>
      </c>
      <c r="L59" s="8"/>
    </row>
    <row r="60" spans="1:12" hidden="1">
      <c r="A60" s="2">
        <v>249</v>
      </c>
      <c r="B60" s="1">
        <v>45219</v>
      </c>
      <c r="C60" t="s">
        <v>262</v>
      </c>
      <c r="D60" t="s">
        <v>10</v>
      </c>
      <c r="E60">
        <v>20</v>
      </c>
      <c r="F60" s="2" t="s">
        <v>14</v>
      </c>
      <c r="G60">
        <v>1</v>
      </c>
      <c r="H60">
        <v>50</v>
      </c>
      <c r="I60" s="8">
        <f>Table4[[#This Row],[Quantity]]*Table4[[#This Row],[Price per Unit]]</f>
        <v>50</v>
      </c>
      <c r="J60">
        <v>50</v>
      </c>
      <c r="K60" s="8" t="str">
        <f>IF(Table4[[#This Row],[Total Amount]]=Table4[[#This Row],[Calculated Total]],"Correct","Check")</f>
        <v>Correct</v>
      </c>
      <c r="L60" s="8"/>
    </row>
    <row r="61" spans="1:12" hidden="1">
      <c r="A61" s="2">
        <v>906</v>
      </c>
      <c r="B61" s="1">
        <v>45081</v>
      </c>
      <c r="C61" t="s">
        <v>919</v>
      </c>
      <c r="D61" t="s">
        <v>13</v>
      </c>
      <c r="E61">
        <v>20</v>
      </c>
      <c r="F61" s="2" t="s">
        <v>14</v>
      </c>
      <c r="G61">
        <v>1</v>
      </c>
      <c r="H61">
        <v>50</v>
      </c>
      <c r="I61" s="8">
        <f>Table4[[#This Row],[Quantity]]*Table4[[#This Row],[Price per Unit]]</f>
        <v>50</v>
      </c>
      <c r="J61">
        <v>50</v>
      </c>
      <c r="K61" s="8" t="str">
        <f>IF(Table4[[#This Row],[Total Amount]]=Table4[[#This Row],[Calculated Total]],"Correct","Check")</f>
        <v>Correct</v>
      </c>
      <c r="L61" s="8"/>
    </row>
    <row r="62" spans="1:12" hidden="1">
      <c r="A62" s="2">
        <v>940</v>
      </c>
      <c r="B62" s="1">
        <v>44954</v>
      </c>
      <c r="C62" t="s">
        <v>953</v>
      </c>
      <c r="D62" t="s">
        <v>13</v>
      </c>
      <c r="E62">
        <v>20</v>
      </c>
      <c r="F62" s="2" t="s">
        <v>16</v>
      </c>
      <c r="G62">
        <v>1</v>
      </c>
      <c r="H62">
        <v>30</v>
      </c>
      <c r="I62" s="8">
        <f>Table4[[#This Row],[Quantity]]*Table4[[#This Row],[Price per Unit]]</f>
        <v>30</v>
      </c>
      <c r="J62">
        <v>30</v>
      </c>
      <c r="K62" s="8" t="str">
        <f>IF(Table4[[#This Row],[Total Amount]]=Table4[[#This Row],[Calculated Total]],"Correct","Check")</f>
        <v>Correct</v>
      </c>
      <c r="L62" s="8"/>
    </row>
    <row r="63" spans="1:12" hidden="1">
      <c r="A63" s="2">
        <v>878</v>
      </c>
      <c r="B63" s="1">
        <v>45107</v>
      </c>
      <c r="C63" t="s">
        <v>891</v>
      </c>
      <c r="D63" t="s">
        <v>13</v>
      </c>
      <c r="E63">
        <v>20</v>
      </c>
      <c r="F63" s="2" t="s">
        <v>14</v>
      </c>
      <c r="G63">
        <v>1</v>
      </c>
      <c r="H63">
        <v>30</v>
      </c>
      <c r="I63" s="8">
        <f>Table4[[#This Row],[Quantity]]*Table4[[#This Row],[Price per Unit]]</f>
        <v>30</v>
      </c>
      <c r="J63">
        <v>30</v>
      </c>
      <c r="K63" s="8" t="str">
        <f>IF(Table4[[#This Row],[Total Amount]]=Table4[[#This Row],[Calculated Total]],"Correct","Check")</f>
        <v>Correct</v>
      </c>
      <c r="L63" s="8"/>
    </row>
    <row r="64" spans="1:12" hidden="1">
      <c r="A64" s="2">
        <v>371</v>
      </c>
      <c r="B64" s="1">
        <v>44978</v>
      </c>
      <c r="C64" t="s">
        <v>384</v>
      </c>
      <c r="D64" t="s">
        <v>13</v>
      </c>
      <c r="E64">
        <v>20</v>
      </c>
      <c r="F64" s="2" t="s">
        <v>11</v>
      </c>
      <c r="G64">
        <v>1</v>
      </c>
      <c r="H64">
        <v>25</v>
      </c>
      <c r="I64" s="8">
        <f>Table4[[#This Row],[Quantity]]*Table4[[#This Row],[Price per Unit]]</f>
        <v>25</v>
      </c>
      <c r="J64">
        <v>25</v>
      </c>
      <c r="K64" s="8" t="str">
        <f>IF(Table4[[#This Row],[Total Amount]]=Table4[[#This Row],[Calculated Total]],"Correct","Check")</f>
        <v>Correct</v>
      </c>
      <c r="L64" s="8"/>
    </row>
    <row r="65" spans="1:12">
      <c r="A65" s="2">
        <v>577</v>
      </c>
      <c r="B65" s="1">
        <v>44970</v>
      </c>
      <c r="C65" t="s">
        <v>590</v>
      </c>
      <c r="D65" t="s">
        <v>10</v>
      </c>
      <c r="E65">
        <v>21</v>
      </c>
      <c r="F65" s="2" t="s">
        <v>11</v>
      </c>
      <c r="G65">
        <v>4</v>
      </c>
      <c r="H65">
        <v>500</v>
      </c>
      <c r="I65" s="8">
        <f>Table4[[#This Row],[Quantity]]*Table4[[#This Row],[Price per Unit]]</f>
        <v>2000</v>
      </c>
      <c r="J65">
        <v>2000</v>
      </c>
      <c r="K65" s="8" t="str">
        <f>IF(Table4[[#This Row],[Total Amount]]=Table4[[#This Row],[Calculated Total]],"Correct","Check")</f>
        <v>Correct</v>
      </c>
      <c r="L65" s="8"/>
    </row>
    <row r="66" spans="1:12">
      <c r="A66" s="2">
        <v>212</v>
      </c>
      <c r="B66" s="1">
        <v>45086</v>
      </c>
      <c r="C66" t="s">
        <v>225</v>
      </c>
      <c r="D66" t="s">
        <v>10</v>
      </c>
      <c r="E66">
        <v>21</v>
      </c>
      <c r="F66" s="2" t="s">
        <v>14</v>
      </c>
      <c r="G66">
        <v>3</v>
      </c>
      <c r="H66">
        <v>500</v>
      </c>
      <c r="I66" s="8">
        <f>Table4[[#This Row],[Quantity]]*Table4[[#This Row],[Price per Unit]]</f>
        <v>1500</v>
      </c>
      <c r="J66">
        <v>1500</v>
      </c>
      <c r="K66" s="8" t="str">
        <f>IF(Table4[[#This Row],[Total Amount]]=Table4[[#This Row],[Calculated Total]],"Correct","Check")</f>
        <v>Correct</v>
      </c>
      <c r="L66" s="8"/>
    </row>
    <row r="67" spans="1:12">
      <c r="A67" s="2">
        <v>636</v>
      </c>
      <c r="B67" s="1">
        <v>45008</v>
      </c>
      <c r="C67" t="s">
        <v>649</v>
      </c>
      <c r="D67" t="s">
        <v>13</v>
      </c>
      <c r="E67">
        <v>21</v>
      </c>
      <c r="F67" s="2" t="s">
        <v>11</v>
      </c>
      <c r="G67">
        <v>3</v>
      </c>
      <c r="H67">
        <v>500</v>
      </c>
      <c r="I67" s="8">
        <f>Table4[[#This Row],[Quantity]]*Table4[[#This Row],[Price per Unit]]</f>
        <v>1500</v>
      </c>
      <c r="J67">
        <v>1500</v>
      </c>
      <c r="K67" s="8" t="str">
        <f>IF(Table4[[#This Row],[Total Amount]]=Table4[[#This Row],[Calculated Total]],"Correct","Check")</f>
        <v>Correct</v>
      </c>
      <c r="L67" s="8"/>
    </row>
    <row r="68" spans="1:12">
      <c r="A68" s="2">
        <v>843</v>
      </c>
      <c r="B68" s="1">
        <v>45068</v>
      </c>
      <c r="C68" t="s">
        <v>856</v>
      </c>
      <c r="D68" t="s">
        <v>10</v>
      </c>
      <c r="E68">
        <v>21</v>
      </c>
      <c r="F68" s="2" t="s">
        <v>11</v>
      </c>
      <c r="G68">
        <v>3</v>
      </c>
      <c r="H68">
        <v>500</v>
      </c>
      <c r="I68" s="8">
        <f>Table4[[#This Row],[Quantity]]*Table4[[#This Row],[Price per Unit]]</f>
        <v>1500</v>
      </c>
      <c r="J68">
        <v>1500</v>
      </c>
      <c r="K68" s="8" t="str">
        <f>IF(Table4[[#This Row],[Total Amount]]=Table4[[#This Row],[Calculated Total]],"Correct","Check")</f>
        <v>Correct</v>
      </c>
      <c r="L68" s="8"/>
    </row>
    <row r="69" spans="1:12">
      <c r="A69" s="2">
        <v>107</v>
      </c>
      <c r="B69" s="1">
        <v>44960</v>
      </c>
      <c r="C69" t="s">
        <v>120</v>
      </c>
      <c r="D69" t="s">
        <v>13</v>
      </c>
      <c r="E69">
        <v>21</v>
      </c>
      <c r="F69" s="2" t="s">
        <v>14</v>
      </c>
      <c r="G69">
        <v>4</v>
      </c>
      <c r="H69">
        <v>300</v>
      </c>
      <c r="I69" s="8">
        <f>Table4[[#This Row],[Quantity]]*Table4[[#This Row],[Price per Unit]]</f>
        <v>1200</v>
      </c>
      <c r="J69">
        <v>1200</v>
      </c>
      <c r="K69" s="8" t="str">
        <f>IF(Table4[[#This Row],[Total Amount]]=Table4[[#This Row],[Calculated Total]],"Correct","Check")</f>
        <v>Correct</v>
      </c>
      <c r="L69" s="8"/>
    </row>
    <row r="70" spans="1:12" hidden="1">
      <c r="A70" s="2">
        <v>853</v>
      </c>
      <c r="B70" s="1">
        <v>45050</v>
      </c>
      <c r="C70" t="s">
        <v>866</v>
      </c>
      <c r="D70" t="s">
        <v>10</v>
      </c>
      <c r="E70">
        <v>21</v>
      </c>
      <c r="F70" s="2" t="s">
        <v>11</v>
      </c>
      <c r="G70">
        <v>2</v>
      </c>
      <c r="H70">
        <v>500</v>
      </c>
      <c r="I70" s="8">
        <f>Table4[[#This Row],[Quantity]]*Table4[[#This Row],[Price per Unit]]</f>
        <v>1000</v>
      </c>
      <c r="J70">
        <v>1000</v>
      </c>
      <c r="K70" s="8" t="str">
        <f>IF(Table4[[#This Row],[Total Amount]]=Table4[[#This Row],[Calculated Total]],"Correct","Check")</f>
        <v>Correct</v>
      </c>
      <c r="L70" s="8"/>
    </row>
    <row r="71" spans="1:12">
      <c r="A71" s="2">
        <v>409</v>
      </c>
      <c r="B71" s="1">
        <v>45278</v>
      </c>
      <c r="C71" t="s">
        <v>422</v>
      </c>
      <c r="D71" t="s">
        <v>13</v>
      </c>
      <c r="E71">
        <v>21</v>
      </c>
      <c r="F71" s="2" t="s">
        <v>16</v>
      </c>
      <c r="G71">
        <v>3</v>
      </c>
      <c r="H71">
        <v>300</v>
      </c>
      <c r="I71" s="8">
        <f>Table4[[#This Row],[Quantity]]*Table4[[#This Row],[Price per Unit]]</f>
        <v>900</v>
      </c>
      <c r="J71">
        <v>900</v>
      </c>
      <c r="K71" s="8" t="str">
        <f>IF(Table4[[#This Row],[Total Amount]]=Table4[[#This Row],[Calculated Total]],"Correct","Check")</f>
        <v>Correct</v>
      </c>
      <c r="L71" s="8"/>
    </row>
    <row r="72" spans="1:12" hidden="1">
      <c r="A72" s="2">
        <v>129</v>
      </c>
      <c r="B72" s="1">
        <v>45039</v>
      </c>
      <c r="C72" t="s">
        <v>142</v>
      </c>
      <c r="D72" t="s">
        <v>13</v>
      </c>
      <c r="E72">
        <v>21</v>
      </c>
      <c r="F72" s="2" t="s">
        <v>11</v>
      </c>
      <c r="G72">
        <v>2</v>
      </c>
      <c r="H72">
        <v>300</v>
      </c>
      <c r="I72" s="8">
        <f>Table4[[#This Row],[Quantity]]*Table4[[#This Row],[Price per Unit]]</f>
        <v>600</v>
      </c>
      <c r="J72">
        <v>600</v>
      </c>
      <c r="K72" s="8" t="str">
        <f>IF(Table4[[#This Row],[Total Amount]]=Table4[[#This Row],[Calculated Total]],"Correct","Check")</f>
        <v>Correct</v>
      </c>
      <c r="L72" s="8"/>
    </row>
    <row r="73" spans="1:12" hidden="1">
      <c r="A73" s="2">
        <v>131</v>
      </c>
      <c r="B73" s="1">
        <v>45187</v>
      </c>
      <c r="C73" t="s">
        <v>144</v>
      </c>
      <c r="D73" t="s">
        <v>13</v>
      </c>
      <c r="E73">
        <v>21</v>
      </c>
      <c r="F73" s="2" t="s">
        <v>11</v>
      </c>
      <c r="G73">
        <v>2</v>
      </c>
      <c r="H73">
        <v>300</v>
      </c>
      <c r="I73" s="8">
        <f>Table4[[#This Row],[Quantity]]*Table4[[#This Row],[Price per Unit]]</f>
        <v>600</v>
      </c>
      <c r="J73">
        <v>600</v>
      </c>
      <c r="K73" s="8" t="str">
        <f>IF(Table4[[#This Row],[Total Amount]]=Table4[[#This Row],[Calculated Total]],"Correct","Check")</f>
        <v>Correct</v>
      </c>
      <c r="L73" s="8"/>
    </row>
    <row r="74" spans="1:12" hidden="1">
      <c r="A74" s="2">
        <v>537</v>
      </c>
      <c r="B74" s="1">
        <v>45080</v>
      </c>
      <c r="C74" t="s">
        <v>550</v>
      </c>
      <c r="D74" t="s">
        <v>13</v>
      </c>
      <c r="E74">
        <v>21</v>
      </c>
      <c r="F74" s="2" t="s">
        <v>11</v>
      </c>
      <c r="G74">
        <v>1</v>
      </c>
      <c r="H74">
        <v>500</v>
      </c>
      <c r="I74" s="8">
        <f>Table4[[#This Row],[Quantity]]*Table4[[#This Row],[Price per Unit]]</f>
        <v>500</v>
      </c>
      <c r="J74">
        <v>500</v>
      </c>
      <c r="K74" s="8" t="str">
        <f>IF(Table4[[#This Row],[Total Amount]]=Table4[[#This Row],[Calculated Total]],"Correct","Check")</f>
        <v>Correct</v>
      </c>
      <c r="L74" s="8"/>
    </row>
    <row r="75" spans="1:12" hidden="1">
      <c r="A75" s="2">
        <v>867</v>
      </c>
      <c r="B75" s="1">
        <v>45083</v>
      </c>
      <c r="C75" t="s">
        <v>880</v>
      </c>
      <c r="D75" t="s">
        <v>10</v>
      </c>
      <c r="E75">
        <v>21</v>
      </c>
      <c r="F75" s="2" t="s">
        <v>16</v>
      </c>
      <c r="G75">
        <v>1</v>
      </c>
      <c r="H75">
        <v>500</v>
      </c>
      <c r="I75" s="8">
        <f>Table4[[#This Row],[Quantity]]*Table4[[#This Row],[Price per Unit]]</f>
        <v>500</v>
      </c>
      <c r="J75">
        <v>500</v>
      </c>
      <c r="K75" s="8" t="str">
        <f>IF(Table4[[#This Row],[Total Amount]]=Table4[[#This Row],[Calculated Total]],"Correct","Check")</f>
        <v>Correct</v>
      </c>
      <c r="L75" s="8"/>
    </row>
    <row r="76" spans="1:12">
      <c r="A76" s="2">
        <v>61</v>
      </c>
      <c r="B76" s="1">
        <v>45025</v>
      </c>
      <c r="C76" t="s">
        <v>74</v>
      </c>
      <c r="D76" t="s">
        <v>10</v>
      </c>
      <c r="E76">
        <v>21</v>
      </c>
      <c r="F76" s="2" t="s">
        <v>11</v>
      </c>
      <c r="G76">
        <v>4</v>
      </c>
      <c r="H76">
        <v>50</v>
      </c>
      <c r="I76" s="8">
        <f>Table4[[#This Row],[Quantity]]*Table4[[#This Row],[Price per Unit]]</f>
        <v>200</v>
      </c>
      <c r="J76">
        <v>200</v>
      </c>
      <c r="K76" s="8" t="str">
        <f>IF(Table4[[#This Row],[Total Amount]]=Table4[[#This Row],[Calculated Total]],"Correct","Check")</f>
        <v>Correct</v>
      </c>
      <c r="L76" s="8"/>
    </row>
    <row r="77" spans="1:12">
      <c r="A77" s="2">
        <v>801</v>
      </c>
      <c r="B77" s="1">
        <v>45148</v>
      </c>
      <c r="C77" t="s">
        <v>814</v>
      </c>
      <c r="D77" t="s">
        <v>10</v>
      </c>
      <c r="E77">
        <v>21</v>
      </c>
      <c r="F77" s="2" t="s">
        <v>14</v>
      </c>
      <c r="G77">
        <v>4</v>
      </c>
      <c r="H77">
        <v>50</v>
      </c>
      <c r="I77" s="8">
        <f>Table4[[#This Row],[Quantity]]*Table4[[#This Row],[Price per Unit]]</f>
        <v>200</v>
      </c>
      <c r="J77">
        <v>200</v>
      </c>
      <c r="K77" s="8" t="str">
        <f>IF(Table4[[#This Row],[Total Amount]]=Table4[[#This Row],[Calculated Total]],"Correct","Check")</f>
        <v>Correct</v>
      </c>
      <c r="L77" s="8"/>
    </row>
    <row r="78" spans="1:12">
      <c r="A78" s="2">
        <v>276</v>
      </c>
      <c r="B78" s="1">
        <v>45201</v>
      </c>
      <c r="C78" t="s">
        <v>289</v>
      </c>
      <c r="D78" t="s">
        <v>13</v>
      </c>
      <c r="E78">
        <v>21</v>
      </c>
      <c r="F78" s="2" t="s">
        <v>11</v>
      </c>
      <c r="G78">
        <v>4</v>
      </c>
      <c r="H78">
        <v>25</v>
      </c>
      <c r="I78" s="8">
        <f>Table4[[#This Row],[Quantity]]*Table4[[#This Row],[Price per Unit]]</f>
        <v>100</v>
      </c>
      <c r="J78">
        <v>100</v>
      </c>
      <c r="K78" s="8" t="str">
        <f>IF(Table4[[#This Row],[Total Amount]]=Table4[[#This Row],[Calculated Total]],"Correct","Check")</f>
        <v>Correct</v>
      </c>
      <c r="L78" s="8"/>
    </row>
    <row r="79" spans="1:12" hidden="1">
      <c r="A79" s="2">
        <v>900</v>
      </c>
      <c r="B79" s="1">
        <v>44978</v>
      </c>
      <c r="C79" t="s">
        <v>913</v>
      </c>
      <c r="D79" t="s">
        <v>10</v>
      </c>
      <c r="E79">
        <v>21</v>
      </c>
      <c r="F79" s="2" t="s">
        <v>14</v>
      </c>
      <c r="G79">
        <v>2</v>
      </c>
      <c r="H79">
        <v>30</v>
      </c>
      <c r="I79" s="8">
        <f>Table4[[#This Row],[Quantity]]*Table4[[#This Row],[Price per Unit]]</f>
        <v>60</v>
      </c>
      <c r="J79">
        <v>60</v>
      </c>
      <c r="K79" s="8" t="str">
        <f>IF(Table4[[#This Row],[Total Amount]]=Table4[[#This Row],[Calculated Total]],"Correct","Check")</f>
        <v>Correct</v>
      </c>
      <c r="L79" s="8"/>
    </row>
    <row r="80" spans="1:12" hidden="1">
      <c r="A80" s="2">
        <v>343</v>
      </c>
      <c r="B80" s="1">
        <v>45231</v>
      </c>
      <c r="C80" t="s">
        <v>356</v>
      </c>
      <c r="D80" t="s">
        <v>10</v>
      </c>
      <c r="E80">
        <v>21</v>
      </c>
      <c r="F80" s="2" t="s">
        <v>16</v>
      </c>
      <c r="G80">
        <v>2</v>
      </c>
      <c r="H80">
        <v>25</v>
      </c>
      <c r="I80" s="8">
        <f>Table4[[#This Row],[Quantity]]*Table4[[#This Row],[Price per Unit]]</f>
        <v>50</v>
      </c>
      <c r="J80">
        <v>50</v>
      </c>
      <c r="K80" s="8" t="str">
        <f>IF(Table4[[#This Row],[Total Amount]]=Table4[[#This Row],[Calculated Total]],"Correct","Check")</f>
        <v>Correct</v>
      </c>
      <c r="L80" s="8"/>
    </row>
    <row r="81" spans="1:12" hidden="1">
      <c r="A81" s="2">
        <v>446</v>
      </c>
      <c r="B81" s="1">
        <v>45084</v>
      </c>
      <c r="C81" t="s">
        <v>459</v>
      </c>
      <c r="D81" t="s">
        <v>10</v>
      </c>
      <c r="E81">
        <v>21</v>
      </c>
      <c r="F81" s="2" t="s">
        <v>16</v>
      </c>
      <c r="G81">
        <v>1</v>
      </c>
      <c r="H81">
        <v>50</v>
      </c>
      <c r="I81" s="8">
        <f>Table4[[#This Row],[Quantity]]*Table4[[#This Row],[Price per Unit]]</f>
        <v>50</v>
      </c>
      <c r="J81">
        <v>50</v>
      </c>
      <c r="K81" s="8" t="str">
        <f>IF(Table4[[#This Row],[Total Amount]]=Table4[[#This Row],[Calculated Total]],"Correct","Check")</f>
        <v>Correct</v>
      </c>
      <c r="L81" s="8"/>
    </row>
    <row r="82" spans="1:12" hidden="1">
      <c r="A82" s="2">
        <v>261</v>
      </c>
      <c r="B82" s="1">
        <v>45143</v>
      </c>
      <c r="C82" t="s">
        <v>274</v>
      </c>
      <c r="D82" t="s">
        <v>10</v>
      </c>
      <c r="E82">
        <v>21</v>
      </c>
      <c r="F82" s="2" t="s">
        <v>14</v>
      </c>
      <c r="G82">
        <v>2</v>
      </c>
      <c r="H82">
        <v>25</v>
      </c>
      <c r="I82" s="8">
        <f>Table4[[#This Row],[Quantity]]*Table4[[#This Row],[Price per Unit]]</f>
        <v>50</v>
      </c>
      <c r="J82">
        <v>50</v>
      </c>
      <c r="K82" s="8" t="str">
        <f>IF(Table4[[#This Row],[Total Amount]]=Table4[[#This Row],[Calculated Total]],"Correct","Check")</f>
        <v>Correct</v>
      </c>
      <c r="L82" s="8"/>
    </row>
    <row r="83" spans="1:12" hidden="1">
      <c r="A83" s="2">
        <v>389</v>
      </c>
      <c r="B83" s="1">
        <v>45261</v>
      </c>
      <c r="C83" t="s">
        <v>402</v>
      </c>
      <c r="D83" t="s">
        <v>10</v>
      </c>
      <c r="E83">
        <v>21</v>
      </c>
      <c r="F83" s="2" t="s">
        <v>14</v>
      </c>
      <c r="G83">
        <v>2</v>
      </c>
      <c r="H83">
        <v>25</v>
      </c>
      <c r="I83" s="8">
        <f>Table4[[#This Row],[Quantity]]*Table4[[#This Row],[Price per Unit]]</f>
        <v>50</v>
      </c>
      <c r="J83">
        <v>50</v>
      </c>
      <c r="K83" s="8" t="str">
        <f>IF(Table4[[#This Row],[Total Amount]]=Table4[[#This Row],[Calculated Total]],"Correct","Check")</f>
        <v>Correct</v>
      </c>
      <c r="L83" s="8"/>
    </row>
    <row r="84" spans="1:12" hidden="1">
      <c r="A84" s="2">
        <v>242</v>
      </c>
      <c r="B84" s="1">
        <v>45048</v>
      </c>
      <c r="C84" t="s">
        <v>255</v>
      </c>
      <c r="D84" t="s">
        <v>10</v>
      </c>
      <c r="E84">
        <v>21</v>
      </c>
      <c r="F84" s="2" t="s">
        <v>14</v>
      </c>
      <c r="G84">
        <v>1</v>
      </c>
      <c r="H84">
        <v>25</v>
      </c>
      <c r="I84" s="8">
        <f>Table4[[#This Row],[Quantity]]*Table4[[#This Row],[Price per Unit]]</f>
        <v>25</v>
      </c>
      <c r="J84">
        <v>25</v>
      </c>
      <c r="K84" s="8" t="str">
        <f>IF(Table4[[#This Row],[Total Amount]]=Table4[[#This Row],[Calculated Total]],"Correct","Check")</f>
        <v>Correct</v>
      </c>
      <c r="L84" s="8"/>
    </row>
    <row r="85" spans="1:12">
      <c r="A85" s="2">
        <v>420</v>
      </c>
      <c r="B85" s="1">
        <v>44949</v>
      </c>
      <c r="C85" t="s">
        <v>433</v>
      </c>
      <c r="D85" t="s">
        <v>13</v>
      </c>
      <c r="E85">
        <v>22</v>
      </c>
      <c r="F85" s="2" t="s">
        <v>14</v>
      </c>
      <c r="G85">
        <v>4</v>
      </c>
      <c r="H85">
        <v>500</v>
      </c>
      <c r="I85" s="8">
        <f>Table4[[#This Row],[Quantity]]*Table4[[#This Row],[Price per Unit]]</f>
        <v>2000</v>
      </c>
      <c r="J85">
        <v>2000</v>
      </c>
      <c r="K85" s="8" t="str">
        <f>IF(Table4[[#This Row],[Total Amount]]=Table4[[#This Row],[Calculated Total]],"Correct","Check")</f>
        <v>Correct</v>
      </c>
      <c r="L85" s="8"/>
    </row>
    <row r="86" spans="1:12">
      <c r="A86" s="2">
        <v>447</v>
      </c>
      <c r="B86" s="1">
        <v>45113</v>
      </c>
      <c r="C86" t="s">
        <v>460</v>
      </c>
      <c r="D86" t="s">
        <v>10</v>
      </c>
      <c r="E86">
        <v>22</v>
      </c>
      <c r="F86" s="2" t="s">
        <v>11</v>
      </c>
      <c r="G86">
        <v>4</v>
      </c>
      <c r="H86">
        <v>500</v>
      </c>
      <c r="I86" s="8">
        <f>Table4[[#This Row],[Quantity]]*Table4[[#This Row],[Price per Unit]]</f>
        <v>2000</v>
      </c>
      <c r="J86">
        <v>2000</v>
      </c>
      <c r="K86" s="8" t="str">
        <f>IF(Table4[[#This Row],[Total Amount]]=Table4[[#This Row],[Calculated Total]],"Correct","Check")</f>
        <v>Correct</v>
      </c>
      <c r="L86" s="8"/>
    </row>
    <row r="87" spans="1:12">
      <c r="A87" s="2">
        <v>13</v>
      </c>
      <c r="B87" s="1">
        <v>45143</v>
      </c>
      <c r="C87" t="s">
        <v>26</v>
      </c>
      <c r="D87" t="s">
        <v>10</v>
      </c>
      <c r="E87">
        <v>22</v>
      </c>
      <c r="F87" s="2" t="s">
        <v>16</v>
      </c>
      <c r="G87">
        <v>3</v>
      </c>
      <c r="H87">
        <v>500</v>
      </c>
      <c r="I87" s="8">
        <f>Table4[[#This Row],[Quantity]]*Table4[[#This Row],[Price per Unit]]</f>
        <v>1500</v>
      </c>
      <c r="J87">
        <v>1500</v>
      </c>
      <c r="K87" s="8" t="str">
        <f>IF(Table4[[#This Row],[Total Amount]]=Table4[[#This Row],[Calculated Total]],"Correct","Check")</f>
        <v>Correct</v>
      </c>
      <c r="L87" s="8"/>
    </row>
    <row r="88" spans="1:12">
      <c r="A88" s="2">
        <v>296</v>
      </c>
      <c r="B88" s="1">
        <v>45175</v>
      </c>
      <c r="C88" t="s">
        <v>309</v>
      </c>
      <c r="D88" t="s">
        <v>13</v>
      </c>
      <c r="E88">
        <v>22</v>
      </c>
      <c r="F88" s="2" t="s">
        <v>14</v>
      </c>
      <c r="G88">
        <v>4</v>
      </c>
      <c r="H88">
        <v>300</v>
      </c>
      <c r="I88" s="8">
        <f>Table4[[#This Row],[Quantity]]*Table4[[#This Row],[Price per Unit]]</f>
        <v>1200</v>
      </c>
      <c r="J88">
        <v>1200</v>
      </c>
      <c r="K88" s="8" t="str">
        <f>IF(Table4[[#This Row],[Total Amount]]=Table4[[#This Row],[Calculated Total]],"Correct","Check")</f>
        <v>Correct</v>
      </c>
      <c r="L88" s="8"/>
    </row>
    <row r="89" spans="1:12">
      <c r="A89" s="2">
        <v>597</v>
      </c>
      <c r="B89" s="1">
        <v>45160</v>
      </c>
      <c r="C89" t="s">
        <v>610</v>
      </c>
      <c r="D89" t="s">
        <v>10</v>
      </c>
      <c r="E89">
        <v>22</v>
      </c>
      <c r="F89" s="2" t="s">
        <v>11</v>
      </c>
      <c r="G89">
        <v>4</v>
      </c>
      <c r="H89">
        <v>300</v>
      </c>
      <c r="I89" s="8">
        <f>Table4[[#This Row],[Quantity]]*Table4[[#This Row],[Price per Unit]]</f>
        <v>1200</v>
      </c>
      <c r="J89">
        <v>1200</v>
      </c>
      <c r="K89" s="8" t="str">
        <f>IF(Table4[[#This Row],[Total Amount]]=Table4[[#This Row],[Calculated Total]],"Correct","Check")</f>
        <v>Correct</v>
      </c>
      <c r="L89" s="8"/>
    </row>
    <row r="90" spans="1:12" hidden="1">
      <c r="A90" s="2">
        <v>393</v>
      </c>
      <c r="B90" s="1">
        <v>45210</v>
      </c>
      <c r="C90" t="s">
        <v>406</v>
      </c>
      <c r="D90" t="s">
        <v>13</v>
      </c>
      <c r="E90">
        <v>22</v>
      </c>
      <c r="F90" s="2" t="s">
        <v>11</v>
      </c>
      <c r="G90">
        <v>2</v>
      </c>
      <c r="H90">
        <v>500</v>
      </c>
      <c r="I90" s="8">
        <f>Table4[[#This Row],[Quantity]]*Table4[[#This Row],[Price per Unit]]</f>
        <v>1000</v>
      </c>
      <c r="J90">
        <v>1000</v>
      </c>
      <c r="K90" s="8" t="str">
        <f>IF(Table4[[#This Row],[Total Amount]]=Table4[[#This Row],[Calculated Total]],"Correct","Check")</f>
        <v>Correct</v>
      </c>
      <c r="L90" s="8"/>
    </row>
    <row r="91" spans="1:12" hidden="1">
      <c r="A91" s="2">
        <v>880</v>
      </c>
      <c r="B91" s="1">
        <v>45159</v>
      </c>
      <c r="C91" t="s">
        <v>893</v>
      </c>
      <c r="D91" t="s">
        <v>10</v>
      </c>
      <c r="E91">
        <v>22</v>
      </c>
      <c r="F91" s="2" t="s">
        <v>11</v>
      </c>
      <c r="G91">
        <v>2</v>
      </c>
      <c r="H91">
        <v>500</v>
      </c>
      <c r="I91" s="8">
        <f>Table4[[#This Row],[Quantity]]*Table4[[#This Row],[Price per Unit]]</f>
        <v>1000</v>
      </c>
      <c r="J91">
        <v>1000</v>
      </c>
      <c r="K91" s="8" t="str">
        <f>IF(Table4[[#This Row],[Total Amount]]=Table4[[#This Row],[Calculated Total]],"Correct","Check")</f>
        <v>Correct</v>
      </c>
      <c r="L91" s="8"/>
    </row>
    <row r="92" spans="1:12">
      <c r="A92" s="2">
        <v>20</v>
      </c>
      <c r="B92" s="1">
        <v>45235</v>
      </c>
      <c r="C92" t="s">
        <v>33</v>
      </c>
      <c r="D92" t="s">
        <v>10</v>
      </c>
      <c r="E92">
        <v>22</v>
      </c>
      <c r="F92" s="2" t="s">
        <v>14</v>
      </c>
      <c r="G92">
        <v>3</v>
      </c>
      <c r="H92">
        <v>300</v>
      </c>
      <c r="I92" s="8">
        <f>Table4[[#This Row],[Quantity]]*Table4[[#This Row],[Price per Unit]]</f>
        <v>900</v>
      </c>
      <c r="J92">
        <v>900</v>
      </c>
      <c r="K92" s="8" t="str">
        <f>IF(Table4[[#This Row],[Total Amount]]=Table4[[#This Row],[Calculated Total]],"Correct","Check")</f>
        <v>Correct</v>
      </c>
      <c r="L92" s="8"/>
    </row>
    <row r="93" spans="1:12">
      <c r="A93" s="2">
        <v>42</v>
      </c>
      <c r="B93" s="1">
        <v>44974</v>
      </c>
      <c r="C93" t="s">
        <v>55</v>
      </c>
      <c r="D93" t="s">
        <v>10</v>
      </c>
      <c r="E93">
        <v>22</v>
      </c>
      <c r="F93" s="2" t="s">
        <v>14</v>
      </c>
      <c r="G93">
        <v>3</v>
      </c>
      <c r="H93">
        <v>300</v>
      </c>
      <c r="I93" s="8">
        <f>Table4[[#This Row],[Quantity]]*Table4[[#This Row],[Price per Unit]]</f>
        <v>900</v>
      </c>
      <c r="J93">
        <v>900</v>
      </c>
      <c r="K93" s="8" t="str">
        <f>IF(Table4[[#This Row],[Total Amount]]=Table4[[#This Row],[Calculated Total]],"Correct","Check")</f>
        <v>Correct</v>
      </c>
      <c r="L93" s="8"/>
    </row>
    <row r="94" spans="1:12" hidden="1">
      <c r="A94" s="2">
        <v>105</v>
      </c>
      <c r="B94" s="1">
        <v>45132</v>
      </c>
      <c r="C94" t="s">
        <v>118</v>
      </c>
      <c r="D94" t="s">
        <v>13</v>
      </c>
      <c r="E94">
        <v>22</v>
      </c>
      <c r="F94" s="2" t="s">
        <v>16</v>
      </c>
      <c r="G94">
        <v>1</v>
      </c>
      <c r="H94">
        <v>500</v>
      </c>
      <c r="I94" s="8">
        <f>Table4[[#This Row],[Quantity]]*Table4[[#This Row],[Price per Unit]]</f>
        <v>500</v>
      </c>
      <c r="J94">
        <v>500</v>
      </c>
      <c r="K94" s="8" t="str">
        <f>IF(Table4[[#This Row],[Total Amount]]=Table4[[#This Row],[Calculated Total]],"Correct","Check")</f>
        <v>Correct</v>
      </c>
      <c r="L94" s="8"/>
    </row>
    <row r="95" spans="1:12" hidden="1">
      <c r="A95" s="2">
        <v>881</v>
      </c>
      <c r="B95" s="1">
        <v>45065</v>
      </c>
      <c r="C95" t="s">
        <v>894</v>
      </c>
      <c r="D95" t="s">
        <v>10</v>
      </c>
      <c r="E95">
        <v>22</v>
      </c>
      <c r="F95" s="2" t="s">
        <v>16</v>
      </c>
      <c r="G95">
        <v>1</v>
      </c>
      <c r="H95">
        <v>300</v>
      </c>
      <c r="I95" s="8">
        <f>Table4[[#This Row],[Quantity]]*Table4[[#This Row],[Price per Unit]]</f>
        <v>300</v>
      </c>
      <c r="J95">
        <v>300</v>
      </c>
      <c r="K95" s="8" t="str">
        <f>IF(Table4[[#This Row],[Total Amount]]=Table4[[#This Row],[Calculated Total]],"Correct","Check")</f>
        <v>Correct</v>
      </c>
      <c r="L95" s="8"/>
    </row>
    <row r="96" spans="1:12">
      <c r="A96" s="2">
        <v>965</v>
      </c>
      <c r="B96" s="1">
        <v>45239</v>
      </c>
      <c r="C96" t="s">
        <v>978</v>
      </c>
      <c r="D96" t="s">
        <v>10</v>
      </c>
      <c r="E96">
        <v>22</v>
      </c>
      <c r="F96" s="2" t="s">
        <v>14</v>
      </c>
      <c r="G96">
        <v>4</v>
      </c>
      <c r="H96">
        <v>50</v>
      </c>
      <c r="I96" s="8">
        <f>Table4[[#This Row],[Quantity]]*Table4[[#This Row],[Price per Unit]]</f>
        <v>200</v>
      </c>
      <c r="J96">
        <v>200</v>
      </c>
      <c r="K96" s="8" t="str">
        <f>IF(Table4[[#This Row],[Total Amount]]=Table4[[#This Row],[Calculated Total]],"Correct","Check")</f>
        <v>Correct</v>
      </c>
      <c r="L96" s="8"/>
    </row>
    <row r="97" spans="1:12">
      <c r="A97" s="2">
        <v>695</v>
      </c>
      <c r="B97" s="1">
        <v>45150</v>
      </c>
      <c r="C97" t="s">
        <v>708</v>
      </c>
      <c r="D97" t="s">
        <v>13</v>
      </c>
      <c r="E97">
        <v>22</v>
      </c>
      <c r="F97" s="2" t="s">
        <v>16</v>
      </c>
      <c r="G97">
        <v>3</v>
      </c>
      <c r="H97">
        <v>50</v>
      </c>
      <c r="I97" s="8">
        <f>Table4[[#This Row],[Quantity]]*Table4[[#This Row],[Price per Unit]]</f>
        <v>150</v>
      </c>
      <c r="J97">
        <v>150</v>
      </c>
      <c r="K97" s="8" t="str">
        <f>IF(Table4[[#This Row],[Total Amount]]=Table4[[#This Row],[Calculated Total]],"Correct","Check")</f>
        <v>Correct</v>
      </c>
      <c r="L97" s="8"/>
    </row>
    <row r="98" spans="1:12" hidden="1">
      <c r="A98" s="2">
        <v>76</v>
      </c>
      <c r="B98" s="1">
        <v>45010</v>
      </c>
      <c r="C98" t="s">
        <v>89</v>
      </c>
      <c r="D98" t="s">
        <v>13</v>
      </c>
      <c r="E98">
        <v>22</v>
      </c>
      <c r="F98" s="2" t="s">
        <v>16</v>
      </c>
      <c r="G98">
        <v>2</v>
      </c>
      <c r="H98">
        <v>50</v>
      </c>
      <c r="I98" s="8">
        <f>Table4[[#This Row],[Quantity]]*Table4[[#This Row],[Price per Unit]]</f>
        <v>100</v>
      </c>
      <c r="J98">
        <v>100</v>
      </c>
      <c r="K98" s="8" t="str">
        <f>IF(Table4[[#This Row],[Total Amount]]=Table4[[#This Row],[Calculated Total]],"Correct","Check")</f>
        <v>Correct</v>
      </c>
      <c r="L98" s="8"/>
    </row>
    <row r="99" spans="1:12">
      <c r="A99" s="2">
        <v>114</v>
      </c>
      <c r="B99" s="1">
        <v>45129</v>
      </c>
      <c r="C99" t="s">
        <v>127</v>
      </c>
      <c r="D99" t="s">
        <v>13</v>
      </c>
      <c r="E99">
        <v>22</v>
      </c>
      <c r="F99" s="2" t="s">
        <v>11</v>
      </c>
      <c r="G99">
        <v>4</v>
      </c>
      <c r="H99">
        <v>25</v>
      </c>
      <c r="I99" s="8">
        <f>Table4[[#This Row],[Quantity]]*Table4[[#This Row],[Price per Unit]]</f>
        <v>100</v>
      </c>
      <c r="J99">
        <v>100</v>
      </c>
      <c r="K99" s="8" t="str">
        <f>IF(Table4[[#This Row],[Total Amount]]=Table4[[#This Row],[Calculated Total]],"Correct","Check")</f>
        <v>Correct</v>
      </c>
      <c r="L99" s="8"/>
    </row>
    <row r="100" spans="1:12">
      <c r="A100" s="2">
        <v>406</v>
      </c>
      <c r="B100" s="1">
        <v>45034</v>
      </c>
      <c r="C100" t="s">
        <v>419</v>
      </c>
      <c r="D100" t="s">
        <v>13</v>
      </c>
      <c r="E100">
        <v>22</v>
      </c>
      <c r="F100" s="2" t="s">
        <v>11</v>
      </c>
      <c r="G100">
        <v>4</v>
      </c>
      <c r="H100">
        <v>25</v>
      </c>
      <c r="I100" s="8">
        <f>Table4[[#This Row],[Quantity]]*Table4[[#This Row],[Price per Unit]]</f>
        <v>100</v>
      </c>
      <c r="J100">
        <v>100</v>
      </c>
      <c r="K100" s="8" t="str">
        <f>IF(Table4[[#This Row],[Total Amount]]=Table4[[#This Row],[Calculated Total]],"Correct","Check")</f>
        <v>Correct</v>
      </c>
      <c r="L100" s="8"/>
    </row>
    <row r="101" spans="1:12">
      <c r="A101" s="2">
        <v>317</v>
      </c>
      <c r="B101" s="1">
        <v>44956</v>
      </c>
      <c r="C101" t="s">
        <v>330</v>
      </c>
      <c r="D101" t="s">
        <v>10</v>
      </c>
      <c r="E101">
        <v>22</v>
      </c>
      <c r="F101" s="2" t="s">
        <v>16</v>
      </c>
      <c r="G101">
        <v>3</v>
      </c>
      <c r="H101">
        <v>30</v>
      </c>
      <c r="I101" s="8">
        <f>Table4[[#This Row],[Quantity]]*Table4[[#This Row],[Price per Unit]]</f>
        <v>90</v>
      </c>
      <c r="J101">
        <v>90</v>
      </c>
      <c r="K101" s="8" t="str">
        <f>IF(Table4[[#This Row],[Total Amount]]=Table4[[#This Row],[Calculated Total]],"Correct","Check")</f>
        <v>Correct</v>
      </c>
      <c r="L101" s="8"/>
    </row>
    <row r="102" spans="1:12">
      <c r="A102" s="2">
        <v>149</v>
      </c>
      <c r="B102" s="1">
        <v>45210</v>
      </c>
      <c r="C102" t="s">
        <v>162</v>
      </c>
      <c r="D102" t="s">
        <v>10</v>
      </c>
      <c r="E102">
        <v>22</v>
      </c>
      <c r="F102" s="2" t="s">
        <v>14</v>
      </c>
      <c r="G102">
        <v>3</v>
      </c>
      <c r="H102">
        <v>25</v>
      </c>
      <c r="I102" s="8">
        <f>Table4[[#This Row],[Quantity]]*Table4[[#This Row],[Price per Unit]]</f>
        <v>75</v>
      </c>
      <c r="J102">
        <v>75</v>
      </c>
      <c r="K102" s="8" t="str">
        <f>IF(Table4[[#This Row],[Total Amount]]=Table4[[#This Row],[Calculated Total]],"Correct","Check")</f>
        <v>Correct</v>
      </c>
      <c r="L102" s="8"/>
    </row>
    <row r="103" spans="1:12" hidden="1">
      <c r="A103" s="2">
        <v>141</v>
      </c>
      <c r="B103" s="1">
        <v>45232</v>
      </c>
      <c r="C103" t="s">
        <v>154</v>
      </c>
      <c r="D103" t="s">
        <v>13</v>
      </c>
      <c r="E103">
        <v>22</v>
      </c>
      <c r="F103" s="2" t="s">
        <v>16</v>
      </c>
      <c r="G103">
        <v>1</v>
      </c>
      <c r="H103">
        <v>50</v>
      </c>
      <c r="I103" s="8">
        <f>Table4[[#This Row],[Quantity]]*Table4[[#This Row],[Price per Unit]]</f>
        <v>50</v>
      </c>
      <c r="J103">
        <v>50</v>
      </c>
      <c r="K103" s="8" t="str">
        <f>IF(Table4[[#This Row],[Total Amount]]=Table4[[#This Row],[Calculated Total]],"Correct","Check")</f>
        <v>Correct</v>
      </c>
      <c r="L103" s="8"/>
    </row>
    <row r="104" spans="1:12" hidden="1">
      <c r="A104" s="2">
        <v>273</v>
      </c>
      <c r="B104" s="1">
        <v>45054</v>
      </c>
      <c r="C104" t="s">
        <v>286</v>
      </c>
      <c r="D104" t="s">
        <v>13</v>
      </c>
      <c r="E104">
        <v>22</v>
      </c>
      <c r="F104" s="2" t="s">
        <v>11</v>
      </c>
      <c r="G104">
        <v>1</v>
      </c>
      <c r="H104">
        <v>50</v>
      </c>
      <c r="I104" s="8">
        <f>Table4[[#This Row],[Quantity]]*Table4[[#This Row],[Price per Unit]]</f>
        <v>50</v>
      </c>
      <c r="J104">
        <v>50</v>
      </c>
      <c r="K104" s="8" t="str">
        <f>IF(Table4[[#This Row],[Total Amount]]=Table4[[#This Row],[Calculated Total]],"Correct","Check")</f>
        <v>Correct</v>
      </c>
      <c r="L104" s="8"/>
    </row>
    <row r="105" spans="1:12" hidden="1">
      <c r="A105" s="2">
        <v>339</v>
      </c>
      <c r="B105" s="1">
        <v>44988</v>
      </c>
      <c r="C105" t="s">
        <v>352</v>
      </c>
      <c r="D105" t="s">
        <v>13</v>
      </c>
      <c r="E105">
        <v>22</v>
      </c>
      <c r="F105" s="2" t="s">
        <v>16</v>
      </c>
      <c r="G105">
        <v>2</v>
      </c>
      <c r="H105">
        <v>25</v>
      </c>
      <c r="I105" s="8">
        <f>Table4[[#This Row],[Quantity]]*Table4[[#This Row],[Price per Unit]]</f>
        <v>50</v>
      </c>
      <c r="J105">
        <v>50</v>
      </c>
      <c r="K105" s="8" t="str">
        <f>IF(Table4[[#This Row],[Total Amount]]=Table4[[#This Row],[Calculated Total]],"Correct","Check")</f>
        <v>Correct</v>
      </c>
      <c r="L105" s="8"/>
    </row>
    <row r="106" spans="1:12" hidden="1">
      <c r="A106" s="2">
        <v>606</v>
      </c>
      <c r="B106" s="1">
        <v>45051</v>
      </c>
      <c r="C106" t="s">
        <v>619</v>
      </c>
      <c r="D106" t="s">
        <v>10</v>
      </c>
      <c r="E106">
        <v>22</v>
      </c>
      <c r="F106" s="2" t="s">
        <v>16</v>
      </c>
      <c r="G106">
        <v>1</v>
      </c>
      <c r="H106">
        <v>50</v>
      </c>
      <c r="I106" s="8">
        <f>Table4[[#This Row],[Quantity]]*Table4[[#This Row],[Price per Unit]]</f>
        <v>50</v>
      </c>
      <c r="J106">
        <v>50</v>
      </c>
      <c r="K106" s="8" t="str">
        <f>IF(Table4[[#This Row],[Total Amount]]=Table4[[#This Row],[Calculated Total]],"Correct","Check")</f>
        <v>Correct</v>
      </c>
      <c r="L106" s="8"/>
    </row>
    <row r="107" spans="1:12" hidden="1">
      <c r="A107" s="2">
        <v>919</v>
      </c>
      <c r="B107" s="1">
        <v>45178</v>
      </c>
      <c r="C107" t="s">
        <v>932</v>
      </c>
      <c r="D107" t="s">
        <v>13</v>
      </c>
      <c r="E107">
        <v>22</v>
      </c>
      <c r="F107" s="2" t="s">
        <v>11</v>
      </c>
      <c r="G107">
        <v>2</v>
      </c>
      <c r="H107">
        <v>25</v>
      </c>
      <c r="I107" s="8">
        <f>Table4[[#This Row],[Quantity]]*Table4[[#This Row],[Price per Unit]]</f>
        <v>50</v>
      </c>
      <c r="J107">
        <v>50</v>
      </c>
      <c r="K107" s="8" t="str">
        <f>IF(Table4[[#This Row],[Total Amount]]=Table4[[#This Row],[Calculated Total]],"Correct","Check")</f>
        <v>Correct</v>
      </c>
      <c r="L107" s="8"/>
    </row>
    <row r="108" spans="1:12" hidden="1">
      <c r="A108" s="2">
        <v>836</v>
      </c>
      <c r="B108" s="1">
        <v>45035</v>
      </c>
      <c r="C108" t="s">
        <v>849</v>
      </c>
      <c r="D108" t="s">
        <v>13</v>
      </c>
      <c r="E108">
        <v>22</v>
      </c>
      <c r="F108" s="2" t="s">
        <v>14</v>
      </c>
      <c r="G108">
        <v>1</v>
      </c>
      <c r="H108">
        <v>50</v>
      </c>
      <c r="I108" s="8">
        <f>Table4[[#This Row],[Quantity]]*Table4[[#This Row],[Price per Unit]]</f>
        <v>50</v>
      </c>
      <c r="J108">
        <v>50</v>
      </c>
      <c r="K108" s="8" t="str">
        <f>IF(Table4[[#This Row],[Total Amount]]=Table4[[#This Row],[Calculated Total]],"Correct","Check")</f>
        <v>Correct</v>
      </c>
      <c r="L108" s="8"/>
    </row>
    <row r="109" spans="1:12" hidden="1">
      <c r="A109" s="2">
        <v>926</v>
      </c>
      <c r="B109" s="1">
        <v>45152</v>
      </c>
      <c r="C109" t="s">
        <v>939</v>
      </c>
      <c r="D109" t="s">
        <v>10</v>
      </c>
      <c r="E109">
        <v>22</v>
      </c>
      <c r="F109" s="2" t="s">
        <v>16</v>
      </c>
      <c r="G109">
        <v>1</v>
      </c>
      <c r="H109">
        <v>30</v>
      </c>
      <c r="I109" s="8">
        <f>Table4[[#This Row],[Quantity]]*Table4[[#This Row],[Price per Unit]]</f>
        <v>30</v>
      </c>
      <c r="J109">
        <v>30</v>
      </c>
      <c r="K109" s="8" t="str">
        <f>IF(Table4[[#This Row],[Total Amount]]=Table4[[#This Row],[Calculated Total]],"Correct","Check")</f>
        <v>Correct</v>
      </c>
      <c r="L109" s="8"/>
    </row>
    <row r="110" spans="1:12" hidden="1">
      <c r="A110" s="2">
        <v>933</v>
      </c>
      <c r="B110" s="1">
        <v>44960</v>
      </c>
      <c r="C110" t="s">
        <v>946</v>
      </c>
      <c r="D110" t="s">
        <v>10</v>
      </c>
      <c r="E110">
        <v>22</v>
      </c>
      <c r="F110" s="2" t="s">
        <v>11</v>
      </c>
      <c r="G110">
        <v>1</v>
      </c>
      <c r="H110">
        <v>30</v>
      </c>
      <c r="I110" s="8">
        <f>Table4[[#This Row],[Quantity]]*Table4[[#This Row],[Price per Unit]]</f>
        <v>30</v>
      </c>
      <c r="J110">
        <v>30</v>
      </c>
      <c r="K110" s="8" t="str">
        <f>IF(Table4[[#This Row],[Total Amount]]=Table4[[#This Row],[Calculated Total]],"Correct","Check")</f>
        <v>Correct</v>
      </c>
      <c r="L110" s="8"/>
    </row>
    <row r="111" spans="1:12" hidden="1">
      <c r="A111" s="2">
        <v>44</v>
      </c>
      <c r="B111" s="1">
        <v>44976</v>
      </c>
      <c r="C111" t="s">
        <v>57</v>
      </c>
      <c r="D111" t="s">
        <v>13</v>
      </c>
      <c r="E111">
        <v>22</v>
      </c>
      <c r="F111" s="2" t="s">
        <v>14</v>
      </c>
      <c r="G111">
        <v>1</v>
      </c>
      <c r="H111">
        <v>25</v>
      </c>
      <c r="I111" s="8">
        <f>Table4[[#This Row],[Quantity]]*Table4[[#This Row],[Price per Unit]]</f>
        <v>25</v>
      </c>
      <c r="J111">
        <v>25</v>
      </c>
      <c r="K111" s="8" t="str">
        <f>IF(Table4[[#This Row],[Total Amount]]=Table4[[#This Row],[Calculated Total]],"Correct","Check")</f>
        <v>Correct</v>
      </c>
      <c r="L111" s="8"/>
    </row>
    <row r="112" spans="1:12">
      <c r="A112" s="2">
        <v>369</v>
      </c>
      <c r="B112" s="1">
        <v>45245</v>
      </c>
      <c r="C112" t="s">
        <v>382</v>
      </c>
      <c r="D112" t="s">
        <v>10</v>
      </c>
      <c r="E112">
        <v>23</v>
      </c>
      <c r="F112" s="2" t="s">
        <v>16</v>
      </c>
      <c r="G112">
        <v>3</v>
      </c>
      <c r="H112">
        <v>500</v>
      </c>
      <c r="I112" s="8">
        <f>Table4[[#This Row],[Quantity]]*Table4[[#This Row],[Price per Unit]]</f>
        <v>1500</v>
      </c>
      <c r="J112">
        <v>1500</v>
      </c>
      <c r="K112" s="8" t="str">
        <f>IF(Table4[[#This Row],[Total Amount]]=Table4[[#This Row],[Calculated Total]],"Correct","Check")</f>
        <v>Correct</v>
      </c>
      <c r="L112" s="8"/>
    </row>
    <row r="113" spans="1:12">
      <c r="A113" s="2">
        <v>663</v>
      </c>
      <c r="B113" s="1">
        <v>45005</v>
      </c>
      <c r="C113" t="s">
        <v>676</v>
      </c>
      <c r="D113" t="s">
        <v>10</v>
      </c>
      <c r="E113">
        <v>23</v>
      </c>
      <c r="F113" s="2" t="s">
        <v>14</v>
      </c>
      <c r="G113">
        <v>4</v>
      </c>
      <c r="H113">
        <v>300</v>
      </c>
      <c r="I113" s="8">
        <f>Table4[[#This Row],[Quantity]]*Table4[[#This Row],[Price per Unit]]</f>
        <v>1200</v>
      </c>
      <c r="J113">
        <v>1200</v>
      </c>
      <c r="K113" s="8" t="str">
        <f>IF(Table4[[#This Row],[Total Amount]]=Table4[[#This Row],[Calculated Total]],"Correct","Check")</f>
        <v>Correct</v>
      </c>
      <c r="L113" s="8"/>
    </row>
    <row r="114" spans="1:12" hidden="1">
      <c r="A114" s="2">
        <v>256</v>
      </c>
      <c r="B114" s="1">
        <v>44975</v>
      </c>
      <c r="C114" t="s">
        <v>269</v>
      </c>
      <c r="D114" t="s">
        <v>10</v>
      </c>
      <c r="E114">
        <v>23</v>
      </c>
      <c r="F114" s="2" t="s">
        <v>14</v>
      </c>
      <c r="G114">
        <v>2</v>
      </c>
      <c r="H114">
        <v>500</v>
      </c>
      <c r="I114" s="8">
        <f>Table4[[#This Row],[Quantity]]*Table4[[#This Row],[Price per Unit]]</f>
        <v>1000</v>
      </c>
      <c r="J114">
        <v>1000</v>
      </c>
      <c r="K114" s="8" t="str">
        <f>IF(Table4[[#This Row],[Total Amount]]=Table4[[#This Row],[Calculated Total]],"Correct","Check")</f>
        <v>Correct</v>
      </c>
      <c r="L114" s="8"/>
    </row>
    <row r="115" spans="1:12" hidden="1">
      <c r="A115" s="2">
        <v>274</v>
      </c>
      <c r="B115" s="1">
        <v>45025</v>
      </c>
      <c r="C115" t="s">
        <v>287</v>
      </c>
      <c r="D115" t="s">
        <v>13</v>
      </c>
      <c r="E115">
        <v>23</v>
      </c>
      <c r="F115" s="2" t="s">
        <v>14</v>
      </c>
      <c r="G115">
        <v>2</v>
      </c>
      <c r="H115">
        <v>500</v>
      </c>
      <c r="I115" s="8">
        <f>Table4[[#This Row],[Quantity]]*Table4[[#This Row],[Price per Unit]]</f>
        <v>1000</v>
      </c>
      <c r="J115">
        <v>1000</v>
      </c>
      <c r="K115" s="8" t="str">
        <f>IF(Table4[[#This Row],[Total Amount]]=Table4[[#This Row],[Calculated Total]],"Correct","Check")</f>
        <v>Correct</v>
      </c>
      <c r="L115" s="8"/>
    </row>
    <row r="116" spans="1:12" hidden="1">
      <c r="A116" s="2">
        <v>235</v>
      </c>
      <c r="B116" s="1">
        <v>44957</v>
      </c>
      <c r="C116" t="s">
        <v>248</v>
      </c>
      <c r="D116" t="s">
        <v>13</v>
      </c>
      <c r="E116">
        <v>23</v>
      </c>
      <c r="F116" s="2" t="s">
        <v>16</v>
      </c>
      <c r="G116">
        <v>2</v>
      </c>
      <c r="H116">
        <v>500</v>
      </c>
      <c r="I116" s="8">
        <f>Table4[[#This Row],[Quantity]]*Table4[[#This Row],[Price per Unit]]</f>
        <v>1000</v>
      </c>
      <c r="J116">
        <v>1000</v>
      </c>
      <c r="K116" s="8" t="str">
        <f>IF(Table4[[#This Row],[Total Amount]]=Table4[[#This Row],[Calculated Total]],"Correct","Check")</f>
        <v>Correct</v>
      </c>
      <c r="L116" s="8"/>
    </row>
    <row r="117" spans="1:12" hidden="1">
      <c r="A117" s="2">
        <v>496</v>
      </c>
      <c r="B117" s="1">
        <v>45274</v>
      </c>
      <c r="C117" t="s">
        <v>509</v>
      </c>
      <c r="D117" t="s">
        <v>10</v>
      </c>
      <c r="E117">
        <v>23</v>
      </c>
      <c r="F117" s="2" t="s">
        <v>14</v>
      </c>
      <c r="G117">
        <v>2</v>
      </c>
      <c r="H117">
        <v>300</v>
      </c>
      <c r="I117" s="8">
        <f>Table4[[#This Row],[Quantity]]*Table4[[#This Row],[Price per Unit]]</f>
        <v>600</v>
      </c>
      <c r="J117">
        <v>600</v>
      </c>
      <c r="K117" s="8" t="str">
        <f>IF(Table4[[#This Row],[Total Amount]]=Table4[[#This Row],[Calculated Total]],"Correct","Check")</f>
        <v>Correct</v>
      </c>
      <c r="L117" s="8"/>
    </row>
    <row r="118" spans="1:12" hidden="1">
      <c r="A118" s="2">
        <v>147</v>
      </c>
      <c r="B118" s="1">
        <v>45197</v>
      </c>
      <c r="C118" t="s">
        <v>160</v>
      </c>
      <c r="D118" t="s">
        <v>10</v>
      </c>
      <c r="E118">
        <v>23</v>
      </c>
      <c r="F118" s="2" t="s">
        <v>16</v>
      </c>
      <c r="G118">
        <v>1</v>
      </c>
      <c r="H118">
        <v>300</v>
      </c>
      <c r="I118" s="8">
        <f>Table4[[#This Row],[Quantity]]*Table4[[#This Row],[Price per Unit]]</f>
        <v>300</v>
      </c>
      <c r="J118">
        <v>300</v>
      </c>
      <c r="K118" s="8" t="str">
        <f>IF(Table4[[#This Row],[Total Amount]]=Table4[[#This Row],[Calculated Total]],"Correct","Check")</f>
        <v>Correct</v>
      </c>
      <c r="L118" s="8"/>
    </row>
    <row r="119" spans="1:12" hidden="1">
      <c r="A119" s="2">
        <v>240</v>
      </c>
      <c r="B119" s="1">
        <v>44963</v>
      </c>
      <c r="C119" t="s">
        <v>253</v>
      </c>
      <c r="D119" t="s">
        <v>13</v>
      </c>
      <c r="E119">
        <v>23</v>
      </c>
      <c r="F119" s="2" t="s">
        <v>11</v>
      </c>
      <c r="G119">
        <v>1</v>
      </c>
      <c r="H119">
        <v>300</v>
      </c>
      <c r="I119" s="8">
        <f>Table4[[#This Row],[Quantity]]*Table4[[#This Row],[Price per Unit]]</f>
        <v>300</v>
      </c>
      <c r="J119">
        <v>300</v>
      </c>
      <c r="K119" s="8" t="str">
        <f>IF(Table4[[#This Row],[Total Amount]]=Table4[[#This Row],[Calculated Total]],"Correct","Check")</f>
        <v>Correct</v>
      </c>
      <c r="L119" s="8"/>
    </row>
    <row r="120" spans="1:12">
      <c r="A120" s="2">
        <v>231</v>
      </c>
      <c r="B120" s="1">
        <v>44930</v>
      </c>
      <c r="C120" t="s">
        <v>244</v>
      </c>
      <c r="D120" t="s">
        <v>13</v>
      </c>
      <c r="E120">
        <v>23</v>
      </c>
      <c r="F120" s="2" t="s">
        <v>14</v>
      </c>
      <c r="G120">
        <v>3</v>
      </c>
      <c r="H120">
        <v>50</v>
      </c>
      <c r="I120" s="8">
        <f>Table4[[#This Row],[Quantity]]*Table4[[#This Row],[Price per Unit]]</f>
        <v>150</v>
      </c>
      <c r="J120">
        <v>150</v>
      </c>
      <c r="K120" s="8" t="str">
        <f>IF(Table4[[#This Row],[Total Amount]]=Table4[[#This Row],[Calculated Total]],"Correct","Check")</f>
        <v>Correct</v>
      </c>
      <c r="L120" s="8"/>
    </row>
    <row r="121" spans="1:12">
      <c r="A121" s="2">
        <v>426</v>
      </c>
      <c r="B121" s="1">
        <v>45009</v>
      </c>
      <c r="C121" t="s">
        <v>439</v>
      </c>
      <c r="D121" t="s">
        <v>10</v>
      </c>
      <c r="E121">
        <v>23</v>
      </c>
      <c r="F121" s="2" t="s">
        <v>16</v>
      </c>
      <c r="G121">
        <v>3</v>
      </c>
      <c r="H121">
        <v>50</v>
      </c>
      <c r="I121" s="8">
        <f>Table4[[#This Row],[Quantity]]*Table4[[#This Row],[Price per Unit]]</f>
        <v>150</v>
      </c>
      <c r="J121">
        <v>150</v>
      </c>
      <c r="K121" s="8" t="str">
        <f>IF(Table4[[#This Row],[Total Amount]]=Table4[[#This Row],[Calculated Total]],"Correct","Check")</f>
        <v>Correct</v>
      </c>
      <c r="L121" s="8"/>
    </row>
    <row r="122" spans="1:12">
      <c r="A122" s="2">
        <v>39</v>
      </c>
      <c r="B122" s="1">
        <v>45037</v>
      </c>
      <c r="C122" t="s">
        <v>52</v>
      </c>
      <c r="D122" t="s">
        <v>10</v>
      </c>
      <c r="E122">
        <v>23</v>
      </c>
      <c r="F122" s="2" t="s">
        <v>14</v>
      </c>
      <c r="G122">
        <v>4</v>
      </c>
      <c r="H122">
        <v>30</v>
      </c>
      <c r="I122" s="8">
        <f>Table4[[#This Row],[Quantity]]*Table4[[#This Row],[Price per Unit]]</f>
        <v>120</v>
      </c>
      <c r="J122">
        <v>120</v>
      </c>
      <c r="K122" s="8" t="str">
        <f>IF(Table4[[#This Row],[Total Amount]]=Table4[[#This Row],[Calculated Total]],"Correct","Check")</f>
        <v>Correct</v>
      </c>
      <c r="L122" s="8"/>
    </row>
    <row r="123" spans="1:12" hidden="1">
      <c r="A123" s="2">
        <v>11</v>
      </c>
      <c r="B123" s="1">
        <v>44971</v>
      </c>
      <c r="C123" t="s">
        <v>24</v>
      </c>
      <c r="D123" t="s">
        <v>10</v>
      </c>
      <c r="E123">
        <v>23</v>
      </c>
      <c r="F123" s="2" t="s">
        <v>14</v>
      </c>
      <c r="G123">
        <v>2</v>
      </c>
      <c r="H123">
        <v>50</v>
      </c>
      <c r="I123" s="8">
        <f>Table4[[#This Row],[Quantity]]*Table4[[#This Row],[Price per Unit]]</f>
        <v>100</v>
      </c>
      <c r="J123">
        <v>100</v>
      </c>
      <c r="K123" s="8" t="str">
        <f>IF(Table4[[#This Row],[Total Amount]]=Table4[[#This Row],[Calculated Total]],"Correct","Check")</f>
        <v>Correct</v>
      </c>
      <c r="L123" s="8"/>
    </row>
    <row r="124" spans="1:12" hidden="1">
      <c r="A124" s="2">
        <v>858</v>
      </c>
      <c r="B124" s="1">
        <v>45178</v>
      </c>
      <c r="C124" t="s">
        <v>871</v>
      </c>
      <c r="D124" t="s">
        <v>10</v>
      </c>
      <c r="E124">
        <v>23</v>
      </c>
      <c r="F124" s="2" t="s">
        <v>16</v>
      </c>
      <c r="G124">
        <v>2</v>
      </c>
      <c r="H124">
        <v>50</v>
      </c>
      <c r="I124" s="8">
        <f>Table4[[#This Row],[Quantity]]*Table4[[#This Row],[Price per Unit]]</f>
        <v>100</v>
      </c>
      <c r="J124">
        <v>100</v>
      </c>
      <c r="K124" s="8" t="str">
        <f>IF(Table4[[#This Row],[Total Amount]]=Table4[[#This Row],[Calculated Total]],"Correct","Check")</f>
        <v>Correct</v>
      </c>
      <c r="L124" s="8"/>
    </row>
    <row r="125" spans="1:12">
      <c r="A125" s="2">
        <v>998</v>
      </c>
      <c r="B125" s="1">
        <v>45228</v>
      </c>
      <c r="C125" t="s">
        <v>1011</v>
      </c>
      <c r="D125" t="s">
        <v>13</v>
      </c>
      <c r="E125">
        <v>23</v>
      </c>
      <c r="F125" s="2" t="s">
        <v>11</v>
      </c>
      <c r="G125">
        <v>4</v>
      </c>
      <c r="H125">
        <v>25</v>
      </c>
      <c r="I125" s="8">
        <f>Table4[[#This Row],[Quantity]]*Table4[[#This Row],[Price per Unit]]</f>
        <v>100</v>
      </c>
      <c r="J125">
        <v>100</v>
      </c>
      <c r="K125" s="8" t="str">
        <f>IF(Table4[[#This Row],[Total Amount]]=Table4[[#This Row],[Calculated Total]],"Correct","Check")</f>
        <v>Correct</v>
      </c>
      <c r="L125" s="8"/>
    </row>
    <row r="126" spans="1:12">
      <c r="A126" s="2">
        <v>294</v>
      </c>
      <c r="B126" s="1">
        <v>45012</v>
      </c>
      <c r="C126" t="s">
        <v>307</v>
      </c>
      <c r="D126" t="s">
        <v>13</v>
      </c>
      <c r="E126">
        <v>23</v>
      </c>
      <c r="F126" s="2" t="s">
        <v>14</v>
      </c>
      <c r="G126">
        <v>3</v>
      </c>
      <c r="H126">
        <v>30</v>
      </c>
      <c r="I126" s="8">
        <f>Table4[[#This Row],[Quantity]]*Table4[[#This Row],[Price per Unit]]</f>
        <v>90</v>
      </c>
      <c r="J126">
        <v>90</v>
      </c>
      <c r="K126" s="8" t="str">
        <f>IF(Table4[[#This Row],[Total Amount]]=Table4[[#This Row],[Calculated Total]],"Correct","Check")</f>
        <v>Correct</v>
      </c>
      <c r="L126" s="8"/>
    </row>
    <row r="127" spans="1:12">
      <c r="A127" s="2">
        <v>241</v>
      </c>
      <c r="B127" s="1">
        <v>45190</v>
      </c>
      <c r="C127" t="s">
        <v>254</v>
      </c>
      <c r="D127" t="s">
        <v>13</v>
      </c>
      <c r="E127">
        <v>23</v>
      </c>
      <c r="F127" s="2" t="s">
        <v>16</v>
      </c>
      <c r="G127">
        <v>3</v>
      </c>
      <c r="H127">
        <v>25</v>
      </c>
      <c r="I127" s="8">
        <f>Table4[[#This Row],[Quantity]]*Table4[[#This Row],[Price per Unit]]</f>
        <v>75</v>
      </c>
      <c r="J127">
        <v>75</v>
      </c>
      <c r="K127" s="8" t="str">
        <f>IF(Table4[[#This Row],[Total Amount]]=Table4[[#This Row],[Calculated Total]],"Correct","Check")</f>
        <v>Correct</v>
      </c>
      <c r="L127" s="8"/>
    </row>
    <row r="128" spans="1:12">
      <c r="A128" s="2">
        <v>644</v>
      </c>
      <c r="B128" s="1">
        <v>45175</v>
      </c>
      <c r="C128" t="s">
        <v>657</v>
      </c>
      <c r="D128" t="s">
        <v>10</v>
      </c>
      <c r="E128">
        <v>23</v>
      </c>
      <c r="F128" s="2" t="s">
        <v>11</v>
      </c>
      <c r="G128">
        <v>3</v>
      </c>
      <c r="H128">
        <v>25</v>
      </c>
      <c r="I128" s="8">
        <f>Table4[[#This Row],[Quantity]]*Table4[[#This Row],[Price per Unit]]</f>
        <v>75</v>
      </c>
      <c r="J128">
        <v>75</v>
      </c>
      <c r="K128" s="8" t="str">
        <f>IF(Table4[[#This Row],[Total Amount]]=Table4[[#This Row],[Calculated Total]],"Correct","Check")</f>
        <v>Correct</v>
      </c>
      <c r="L128" s="8"/>
    </row>
    <row r="129" spans="1:12">
      <c r="A129" s="2">
        <v>929</v>
      </c>
      <c r="B129" s="1">
        <v>44953</v>
      </c>
      <c r="C129" t="s">
        <v>942</v>
      </c>
      <c r="D129" t="s">
        <v>13</v>
      </c>
      <c r="E129">
        <v>23</v>
      </c>
      <c r="F129" s="2" t="s">
        <v>11</v>
      </c>
      <c r="G129">
        <v>3</v>
      </c>
      <c r="H129">
        <v>25</v>
      </c>
      <c r="I129" s="8">
        <f>Table4[[#This Row],[Quantity]]*Table4[[#This Row],[Price per Unit]]</f>
        <v>75</v>
      </c>
      <c r="J129">
        <v>75</v>
      </c>
      <c r="K129" s="8" t="str">
        <f>IF(Table4[[#This Row],[Total Amount]]=Table4[[#This Row],[Calculated Total]],"Correct","Check")</f>
        <v>Correct</v>
      </c>
      <c r="L129" s="8"/>
    </row>
    <row r="130" spans="1:12">
      <c r="A130" s="2">
        <v>948</v>
      </c>
      <c r="B130" s="1">
        <v>45212</v>
      </c>
      <c r="C130" t="s">
        <v>961</v>
      </c>
      <c r="D130" t="s">
        <v>13</v>
      </c>
      <c r="E130">
        <v>23</v>
      </c>
      <c r="F130" s="2" t="s">
        <v>16</v>
      </c>
      <c r="G130">
        <v>3</v>
      </c>
      <c r="H130">
        <v>25</v>
      </c>
      <c r="I130" s="8">
        <f>Table4[[#This Row],[Quantity]]*Table4[[#This Row],[Price per Unit]]</f>
        <v>75</v>
      </c>
      <c r="J130">
        <v>75</v>
      </c>
      <c r="K130" s="8" t="str">
        <f>IF(Table4[[#This Row],[Total Amount]]=Table4[[#This Row],[Calculated Total]],"Correct","Check")</f>
        <v>Correct</v>
      </c>
      <c r="L130" s="8"/>
    </row>
    <row r="131" spans="1:12" hidden="1">
      <c r="A131" s="2">
        <v>263</v>
      </c>
      <c r="B131" s="1">
        <v>45166</v>
      </c>
      <c r="C131" t="s">
        <v>276</v>
      </c>
      <c r="D131" t="s">
        <v>10</v>
      </c>
      <c r="E131">
        <v>23</v>
      </c>
      <c r="F131" s="2" t="s">
        <v>11</v>
      </c>
      <c r="G131">
        <v>2</v>
      </c>
      <c r="H131">
        <v>30</v>
      </c>
      <c r="I131" s="8">
        <f>Table4[[#This Row],[Quantity]]*Table4[[#This Row],[Price per Unit]]</f>
        <v>60</v>
      </c>
      <c r="J131">
        <v>60</v>
      </c>
      <c r="K131" s="8" t="str">
        <f>IF(Table4[[#This Row],[Total Amount]]=Table4[[#This Row],[Calculated Total]],"Correct","Check")</f>
        <v>Correct</v>
      </c>
      <c r="L131" s="8"/>
    </row>
    <row r="132" spans="1:12" hidden="1">
      <c r="A132" s="2">
        <v>370</v>
      </c>
      <c r="B132" s="1">
        <v>45215</v>
      </c>
      <c r="C132" t="s">
        <v>383</v>
      </c>
      <c r="D132" t="s">
        <v>10</v>
      </c>
      <c r="E132">
        <v>23</v>
      </c>
      <c r="F132" s="2" t="s">
        <v>16</v>
      </c>
      <c r="G132">
        <v>2</v>
      </c>
      <c r="H132">
        <v>30</v>
      </c>
      <c r="I132" s="8">
        <f>Table4[[#This Row],[Quantity]]*Table4[[#This Row],[Price per Unit]]</f>
        <v>60</v>
      </c>
      <c r="J132">
        <v>60</v>
      </c>
      <c r="K132" s="8" t="str">
        <f>IF(Table4[[#This Row],[Total Amount]]=Table4[[#This Row],[Calculated Total]],"Correct","Check")</f>
        <v>Correct</v>
      </c>
      <c r="L132" s="8"/>
    </row>
    <row r="133" spans="1:12" hidden="1">
      <c r="A133" s="2">
        <v>747</v>
      </c>
      <c r="B133" s="1">
        <v>45245</v>
      </c>
      <c r="C133" t="s">
        <v>760</v>
      </c>
      <c r="D133" t="s">
        <v>10</v>
      </c>
      <c r="E133">
        <v>23</v>
      </c>
      <c r="F133" s="2" t="s">
        <v>11</v>
      </c>
      <c r="G133">
        <v>1</v>
      </c>
      <c r="H133">
        <v>30</v>
      </c>
      <c r="I133" s="8">
        <f>Table4[[#This Row],[Quantity]]*Table4[[#This Row],[Price per Unit]]</f>
        <v>30</v>
      </c>
      <c r="J133">
        <v>30</v>
      </c>
      <c r="K133" s="8" t="str">
        <f>IF(Table4[[#This Row],[Total Amount]]=Table4[[#This Row],[Calculated Total]],"Correct","Check")</f>
        <v>Correct</v>
      </c>
      <c r="L133" s="8"/>
    </row>
    <row r="134" spans="1:12" hidden="1">
      <c r="A134" s="2">
        <v>116</v>
      </c>
      <c r="B134" s="1">
        <v>45161</v>
      </c>
      <c r="C134" t="s">
        <v>129</v>
      </c>
      <c r="D134" t="s">
        <v>13</v>
      </c>
      <c r="E134">
        <v>23</v>
      </c>
      <c r="F134" s="2" t="s">
        <v>14</v>
      </c>
      <c r="G134">
        <v>1</v>
      </c>
      <c r="H134">
        <v>30</v>
      </c>
      <c r="I134" s="8">
        <f>Table4[[#This Row],[Quantity]]*Table4[[#This Row],[Price per Unit]]</f>
        <v>30</v>
      </c>
      <c r="J134">
        <v>30</v>
      </c>
      <c r="K134" s="8" t="str">
        <f>IF(Table4[[#This Row],[Total Amount]]=Table4[[#This Row],[Calculated Total]],"Correct","Check")</f>
        <v>Correct</v>
      </c>
      <c r="L134" s="8"/>
    </row>
    <row r="135" spans="1:12" hidden="1">
      <c r="A135" s="2">
        <v>879</v>
      </c>
      <c r="B135" s="1">
        <v>45286</v>
      </c>
      <c r="C135" t="s">
        <v>892</v>
      </c>
      <c r="D135" t="s">
        <v>10</v>
      </c>
      <c r="E135">
        <v>23</v>
      </c>
      <c r="F135" s="2" t="s">
        <v>14</v>
      </c>
      <c r="G135">
        <v>1</v>
      </c>
      <c r="H135">
        <v>30</v>
      </c>
      <c r="I135" s="8">
        <f>Table4[[#This Row],[Quantity]]*Table4[[#This Row],[Price per Unit]]</f>
        <v>30</v>
      </c>
      <c r="J135">
        <v>30</v>
      </c>
      <c r="K135" s="8" t="str">
        <f>IF(Table4[[#This Row],[Total Amount]]=Table4[[#This Row],[Calculated Total]],"Correct","Check")</f>
        <v>Correct</v>
      </c>
      <c r="L135" s="8"/>
    </row>
    <row r="136" spans="1:12">
      <c r="A136" s="2">
        <v>372</v>
      </c>
      <c r="B136" s="1">
        <v>44964</v>
      </c>
      <c r="C136" t="s">
        <v>385</v>
      </c>
      <c r="D136" t="s">
        <v>13</v>
      </c>
      <c r="E136">
        <v>24</v>
      </c>
      <c r="F136" s="2" t="s">
        <v>11</v>
      </c>
      <c r="G136">
        <v>3</v>
      </c>
      <c r="H136">
        <v>500</v>
      </c>
      <c r="I136" s="8">
        <f>Table4[[#This Row],[Quantity]]*Table4[[#This Row],[Price per Unit]]</f>
        <v>1500</v>
      </c>
      <c r="J136">
        <v>1500</v>
      </c>
      <c r="K136" s="8" t="str">
        <f>IF(Table4[[#This Row],[Total Amount]]=Table4[[#This Row],[Calculated Total]],"Correct","Check")</f>
        <v>Correct</v>
      </c>
      <c r="L136" s="8"/>
    </row>
    <row r="137" spans="1:12">
      <c r="A137" s="2">
        <v>553</v>
      </c>
      <c r="B137" s="1">
        <v>45016</v>
      </c>
      <c r="C137" t="s">
        <v>566</v>
      </c>
      <c r="D137" t="s">
        <v>10</v>
      </c>
      <c r="E137">
        <v>24</v>
      </c>
      <c r="F137" s="2" t="s">
        <v>14</v>
      </c>
      <c r="G137">
        <v>4</v>
      </c>
      <c r="H137">
        <v>300</v>
      </c>
      <c r="I137" s="8">
        <f>Table4[[#This Row],[Quantity]]*Table4[[#This Row],[Price per Unit]]</f>
        <v>1200</v>
      </c>
      <c r="J137">
        <v>1200</v>
      </c>
      <c r="K137" s="8" t="str">
        <f>IF(Table4[[#This Row],[Total Amount]]=Table4[[#This Row],[Calculated Total]],"Correct","Check")</f>
        <v>Correct</v>
      </c>
      <c r="L137" s="8"/>
    </row>
    <row r="138" spans="1:12">
      <c r="A138" s="2">
        <v>669</v>
      </c>
      <c r="B138" s="1">
        <v>45096</v>
      </c>
      <c r="C138" t="s">
        <v>682</v>
      </c>
      <c r="D138" t="s">
        <v>10</v>
      </c>
      <c r="E138">
        <v>24</v>
      </c>
      <c r="F138" s="2" t="s">
        <v>11</v>
      </c>
      <c r="G138">
        <v>4</v>
      </c>
      <c r="H138">
        <v>300</v>
      </c>
      <c r="I138" s="8">
        <f>Table4[[#This Row],[Quantity]]*Table4[[#This Row],[Price per Unit]]</f>
        <v>1200</v>
      </c>
      <c r="J138">
        <v>1200</v>
      </c>
      <c r="K138" s="8" t="str">
        <f>IF(Table4[[#This Row],[Total Amount]]=Table4[[#This Row],[Calculated Total]],"Correct","Check")</f>
        <v>Correct</v>
      </c>
      <c r="L138" s="8"/>
    </row>
    <row r="139" spans="1:12">
      <c r="A139" s="2">
        <v>964</v>
      </c>
      <c r="B139" s="1">
        <v>44957</v>
      </c>
      <c r="C139" t="s">
        <v>977</v>
      </c>
      <c r="D139" t="s">
        <v>10</v>
      </c>
      <c r="E139">
        <v>24</v>
      </c>
      <c r="F139" s="2" t="s">
        <v>14</v>
      </c>
      <c r="G139">
        <v>3</v>
      </c>
      <c r="H139">
        <v>300</v>
      </c>
      <c r="I139" s="8">
        <f>Table4[[#This Row],[Quantity]]*Table4[[#This Row],[Price per Unit]]</f>
        <v>900</v>
      </c>
      <c r="J139">
        <v>900</v>
      </c>
      <c r="K139" s="8" t="str">
        <f>IF(Table4[[#This Row],[Total Amount]]=Table4[[#This Row],[Calculated Total]],"Correct","Check")</f>
        <v>Correct</v>
      </c>
      <c r="L139" s="8"/>
    </row>
    <row r="140" spans="1:12">
      <c r="A140" s="2">
        <v>513</v>
      </c>
      <c r="B140" s="1">
        <v>45188</v>
      </c>
      <c r="C140" t="s">
        <v>526</v>
      </c>
      <c r="D140" t="s">
        <v>10</v>
      </c>
      <c r="E140">
        <v>24</v>
      </c>
      <c r="F140" s="2" t="s">
        <v>16</v>
      </c>
      <c r="G140">
        <v>4</v>
      </c>
      <c r="H140">
        <v>25</v>
      </c>
      <c r="I140" s="8">
        <f>Table4[[#This Row],[Quantity]]*Table4[[#This Row],[Price per Unit]]</f>
        <v>100</v>
      </c>
      <c r="J140">
        <v>100</v>
      </c>
      <c r="K140" s="8" t="str">
        <f>IF(Table4[[#This Row],[Total Amount]]=Table4[[#This Row],[Calculated Total]],"Correct","Check")</f>
        <v>Correct</v>
      </c>
      <c r="L140" s="8"/>
    </row>
    <row r="141" spans="1:12">
      <c r="A141" s="2">
        <v>583</v>
      </c>
      <c r="B141" s="1">
        <v>45098</v>
      </c>
      <c r="C141" t="s">
        <v>596</v>
      </c>
      <c r="D141" t="s">
        <v>13</v>
      </c>
      <c r="E141">
        <v>24</v>
      </c>
      <c r="F141" s="2" t="s">
        <v>16</v>
      </c>
      <c r="G141">
        <v>4</v>
      </c>
      <c r="H141">
        <v>25</v>
      </c>
      <c r="I141" s="8">
        <f>Table4[[#This Row],[Quantity]]*Table4[[#This Row],[Price per Unit]]</f>
        <v>100</v>
      </c>
      <c r="J141">
        <v>100</v>
      </c>
      <c r="K141" s="8" t="str">
        <f>IF(Table4[[#This Row],[Total Amount]]=Table4[[#This Row],[Calculated Total]],"Correct","Check")</f>
        <v>Correct</v>
      </c>
      <c r="L141" s="8"/>
    </row>
    <row r="142" spans="1:12">
      <c r="A142" s="2">
        <v>768</v>
      </c>
      <c r="B142" s="1">
        <v>44940</v>
      </c>
      <c r="C142" t="s">
        <v>781</v>
      </c>
      <c r="D142" t="s">
        <v>13</v>
      </c>
      <c r="E142">
        <v>24</v>
      </c>
      <c r="F142" s="2" t="s">
        <v>11</v>
      </c>
      <c r="G142">
        <v>3</v>
      </c>
      <c r="H142">
        <v>25</v>
      </c>
      <c r="I142" s="8">
        <f>Table4[[#This Row],[Quantity]]*Table4[[#This Row],[Price per Unit]]</f>
        <v>75</v>
      </c>
      <c r="J142">
        <v>75</v>
      </c>
      <c r="K142" s="8" t="str">
        <f>IF(Table4[[#This Row],[Total Amount]]=Table4[[#This Row],[Calculated Total]],"Correct","Check")</f>
        <v>Correct</v>
      </c>
      <c r="L142" s="8"/>
    </row>
    <row r="143" spans="1:12" hidden="1">
      <c r="A143" s="2">
        <v>495</v>
      </c>
      <c r="B143" s="1">
        <v>45131</v>
      </c>
      <c r="C143" t="s">
        <v>508</v>
      </c>
      <c r="D143" t="s">
        <v>10</v>
      </c>
      <c r="E143">
        <v>24</v>
      </c>
      <c r="F143" s="2" t="s">
        <v>11</v>
      </c>
      <c r="G143">
        <v>2</v>
      </c>
      <c r="H143">
        <v>30</v>
      </c>
      <c r="I143" s="8">
        <f>Table4[[#This Row],[Quantity]]*Table4[[#This Row],[Price per Unit]]</f>
        <v>60</v>
      </c>
      <c r="J143">
        <v>60</v>
      </c>
      <c r="K143" s="8" t="str">
        <f>IF(Table4[[#This Row],[Total Amount]]=Table4[[#This Row],[Calculated Total]],"Correct","Check")</f>
        <v>Correct</v>
      </c>
      <c r="L143" s="8"/>
    </row>
    <row r="144" spans="1:12" hidden="1">
      <c r="A144" s="2">
        <v>505</v>
      </c>
      <c r="B144" s="1">
        <v>44946</v>
      </c>
      <c r="C144" t="s">
        <v>518</v>
      </c>
      <c r="D144" t="s">
        <v>10</v>
      </c>
      <c r="E144">
        <v>24</v>
      </c>
      <c r="F144" s="2" t="s">
        <v>11</v>
      </c>
      <c r="G144">
        <v>1</v>
      </c>
      <c r="H144">
        <v>50</v>
      </c>
      <c r="I144" s="8">
        <f>Table4[[#This Row],[Quantity]]*Table4[[#This Row],[Price per Unit]]</f>
        <v>50</v>
      </c>
      <c r="J144">
        <v>50</v>
      </c>
      <c r="K144" s="8" t="str">
        <f>IF(Table4[[#This Row],[Total Amount]]=Table4[[#This Row],[Calculated Total]],"Correct","Check")</f>
        <v>Correct</v>
      </c>
      <c r="L144" s="8"/>
    </row>
    <row r="145" spans="1:12" hidden="1">
      <c r="A145" s="2">
        <v>762</v>
      </c>
      <c r="B145" s="1">
        <v>45237</v>
      </c>
      <c r="C145" t="s">
        <v>775</v>
      </c>
      <c r="D145" t="s">
        <v>13</v>
      </c>
      <c r="E145">
        <v>24</v>
      </c>
      <c r="F145" s="2" t="s">
        <v>16</v>
      </c>
      <c r="G145">
        <v>2</v>
      </c>
      <c r="H145">
        <v>25</v>
      </c>
      <c r="I145" s="8">
        <f>Table4[[#This Row],[Quantity]]*Table4[[#This Row],[Price per Unit]]</f>
        <v>50</v>
      </c>
      <c r="J145">
        <v>50</v>
      </c>
      <c r="K145" s="8" t="str">
        <f>IF(Table4[[#This Row],[Total Amount]]=Table4[[#This Row],[Calculated Total]],"Correct","Check")</f>
        <v>Correct</v>
      </c>
      <c r="L145" s="8"/>
    </row>
    <row r="146" spans="1:12" hidden="1">
      <c r="A146" s="2">
        <v>771</v>
      </c>
      <c r="B146" s="1">
        <v>45273</v>
      </c>
      <c r="C146" t="s">
        <v>784</v>
      </c>
      <c r="D146" t="s">
        <v>10</v>
      </c>
      <c r="E146">
        <v>24</v>
      </c>
      <c r="F146" s="2" t="s">
        <v>16</v>
      </c>
      <c r="G146">
        <v>2</v>
      </c>
      <c r="H146">
        <v>25</v>
      </c>
      <c r="I146" s="8">
        <f>Table4[[#This Row],[Quantity]]*Table4[[#This Row],[Price per Unit]]</f>
        <v>50</v>
      </c>
      <c r="J146">
        <v>50</v>
      </c>
      <c r="K146" s="8" t="str">
        <f>IF(Table4[[#This Row],[Total Amount]]=Table4[[#This Row],[Calculated Total]],"Correct","Check")</f>
        <v>Correct</v>
      </c>
      <c r="L146" s="8"/>
    </row>
    <row r="147" spans="1:12" hidden="1">
      <c r="A147" s="2">
        <v>866</v>
      </c>
      <c r="B147" s="1">
        <v>45051</v>
      </c>
      <c r="C147" t="s">
        <v>879</v>
      </c>
      <c r="D147" t="s">
        <v>10</v>
      </c>
      <c r="E147">
        <v>24</v>
      </c>
      <c r="F147" s="2" t="s">
        <v>16</v>
      </c>
      <c r="G147">
        <v>1</v>
      </c>
      <c r="H147">
        <v>50</v>
      </c>
      <c r="I147" s="8">
        <f>Table4[[#This Row],[Quantity]]*Table4[[#This Row],[Price per Unit]]</f>
        <v>50</v>
      </c>
      <c r="J147">
        <v>50</v>
      </c>
      <c r="K147" s="8" t="str">
        <f>IF(Table4[[#This Row],[Total Amount]]=Table4[[#This Row],[Calculated Total]],"Correct","Check")</f>
        <v>Correct</v>
      </c>
      <c r="L147" s="8"/>
    </row>
    <row r="148" spans="1:12" hidden="1">
      <c r="A148" s="2">
        <v>485</v>
      </c>
      <c r="B148" s="1">
        <v>45264</v>
      </c>
      <c r="C148" t="s">
        <v>498</v>
      </c>
      <c r="D148" t="s">
        <v>10</v>
      </c>
      <c r="E148">
        <v>24</v>
      </c>
      <c r="F148" s="2" t="s">
        <v>16</v>
      </c>
      <c r="G148">
        <v>1</v>
      </c>
      <c r="H148">
        <v>30</v>
      </c>
      <c r="I148" s="8">
        <f>Table4[[#This Row],[Quantity]]*Table4[[#This Row],[Price per Unit]]</f>
        <v>30</v>
      </c>
      <c r="J148">
        <v>30</v>
      </c>
      <c r="K148" s="8" t="str">
        <f>IF(Table4[[#This Row],[Total Amount]]=Table4[[#This Row],[Calculated Total]],"Correct","Check")</f>
        <v>Correct</v>
      </c>
      <c r="L148" s="8"/>
    </row>
    <row r="149" spans="1:12" hidden="1">
      <c r="A149" s="2">
        <v>185</v>
      </c>
      <c r="B149" s="1">
        <v>44984</v>
      </c>
      <c r="C149" t="s">
        <v>198</v>
      </c>
      <c r="D149" t="s">
        <v>10</v>
      </c>
      <c r="E149">
        <v>24</v>
      </c>
      <c r="F149" s="2" t="s">
        <v>14</v>
      </c>
      <c r="G149">
        <v>1</v>
      </c>
      <c r="H149">
        <v>25</v>
      </c>
      <c r="I149" s="8">
        <f>Table4[[#This Row],[Quantity]]*Table4[[#This Row],[Price per Unit]]</f>
        <v>25</v>
      </c>
      <c r="J149">
        <v>25</v>
      </c>
      <c r="K149" s="8" t="str">
        <f>IF(Table4[[#This Row],[Total Amount]]=Table4[[#This Row],[Calculated Total]],"Correct","Check")</f>
        <v>Correct</v>
      </c>
      <c r="L149" s="8"/>
    </row>
    <row r="150" spans="1:12" hidden="1">
      <c r="A150" s="2">
        <v>585</v>
      </c>
      <c r="B150" s="1">
        <v>45047</v>
      </c>
      <c r="C150" t="s">
        <v>598</v>
      </c>
      <c r="D150" t="s">
        <v>13</v>
      </c>
      <c r="E150">
        <v>24</v>
      </c>
      <c r="F150" s="2" t="s">
        <v>14</v>
      </c>
      <c r="G150">
        <v>1</v>
      </c>
      <c r="H150">
        <v>25</v>
      </c>
      <c r="I150" s="8">
        <f>Table4[[#This Row],[Quantity]]*Table4[[#This Row],[Price per Unit]]</f>
        <v>25</v>
      </c>
      <c r="J150">
        <v>25</v>
      </c>
      <c r="K150" s="8" t="str">
        <f>IF(Table4[[#This Row],[Total Amount]]=Table4[[#This Row],[Calculated Total]],"Correct","Check")</f>
        <v>Correct</v>
      </c>
      <c r="L150" s="8"/>
    </row>
    <row r="151" spans="1:12">
      <c r="A151" s="2">
        <v>269</v>
      </c>
      <c r="B151" s="1">
        <v>44958</v>
      </c>
      <c r="C151" t="s">
        <v>282</v>
      </c>
      <c r="D151" t="s">
        <v>10</v>
      </c>
      <c r="E151">
        <v>25</v>
      </c>
      <c r="F151" s="2" t="s">
        <v>14</v>
      </c>
      <c r="G151">
        <v>4</v>
      </c>
      <c r="H151">
        <v>500</v>
      </c>
      <c r="I151" s="8">
        <f>Table4[[#This Row],[Quantity]]*Table4[[#This Row],[Price per Unit]]</f>
        <v>2000</v>
      </c>
      <c r="J151">
        <v>2000</v>
      </c>
      <c r="K151" s="8" t="str">
        <f>IF(Table4[[#This Row],[Total Amount]]=Table4[[#This Row],[Calculated Total]],"Correct","Check")</f>
        <v>Correct</v>
      </c>
      <c r="L151" s="8"/>
    </row>
    <row r="152" spans="1:12">
      <c r="A152" s="2">
        <v>773</v>
      </c>
      <c r="B152" s="1">
        <v>45130</v>
      </c>
      <c r="C152" t="s">
        <v>786</v>
      </c>
      <c r="D152" t="s">
        <v>10</v>
      </c>
      <c r="E152">
        <v>25</v>
      </c>
      <c r="F152" s="2" t="s">
        <v>16</v>
      </c>
      <c r="G152">
        <v>4</v>
      </c>
      <c r="H152">
        <v>500</v>
      </c>
      <c r="I152" s="8">
        <f>Table4[[#This Row],[Quantity]]*Table4[[#This Row],[Price per Unit]]</f>
        <v>2000</v>
      </c>
      <c r="J152">
        <v>2000</v>
      </c>
      <c r="K152" s="8" t="str">
        <f>IF(Table4[[#This Row],[Total Amount]]=Table4[[#This Row],[Calculated Total]],"Correct","Check")</f>
        <v>Correct</v>
      </c>
      <c r="L152" s="8"/>
    </row>
    <row r="153" spans="1:12">
      <c r="A153" s="2">
        <v>405</v>
      </c>
      <c r="B153" s="1">
        <v>45236</v>
      </c>
      <c r="C153" t="s">
        <v>418</v>
      </c>
      <c r="D153" t="s">
        <v>13</v>
      </c>
      <c r="E153">
        <v>25</v>
      </c>
      <c r="F153" s="2" t="s">
        <v>14</v>
      </c>
      <c r="G153">
        <v>4</v>
      </c>
      <c r="H153">
        <v>300</v>
      </c>
      <c r="I153" s="8">
        <f>Table4[[#This Row],[Quantity]]*Table4[[#This Row],[Price per Unit]]</f>
        <v>1200</v>
      </c>
      <c r="J153">
        <v>1200</v>
      </c>
      <c r="K153" s="8" t="str">
        <f>IF(Table4[[#This Row],[Total Amount]]=Table4[[#This Row],[Calculated Total]],"Correct","Check")</f>
        <v>Correct</v>
      </c>
      <c r="L153" s="8"/>
    </row>
    <row r="154" spans="1:12">
      <c r="A154" s="2">
        <v>567</v>
      </c>
      <c r="B154" s="1">
        <v>45091</v>
      </c>
      <c r="C154" t="s">
        <v>580</v>
      </c>
      <c r="D154" t="s">
        <v>13</v>
      </c>
      <c r="E154">
        <v>25</v>
      </c>
      <c r="F154" s="2" t="s">
        <v>14</v>
      </c>
      <c r="G154">
        <v>3</v>
      </c>
      <c r="H154">
        <v>300</v>
      </c>
      <c r="I154" s="8">
        <f>Table4[[#This Row],[Quantity]]*Table4[[#This Row],[Price per Unit]]</f>
        <v>900</v>
      </c>
      <c r="J154">
        <v>900</v>
      </c>
      <c r="K154" s="8" t="str">
        <f>IF(Table4[[#This Row],[Total Amount]]=Table4[[#This Row],[Calculated Total]],"Correct","Check")</f>
        <v>Correct</v>
      </c>
      <c r="L154" s="8"/>
    </row>
    <row r="155" spans="1:12" hidden="1">
      <c r="A155" s="2">
        <v>373</v>
      </c>
      <c r="B155" s="1">
        <v>45202</v>
      </c>
      <c r="C155" t="s">
        <v>386</v>
      </c>
      <c r="D155" t="s">
        <v>13</v>
      </c>
      <c r="E155">
        <v>25</v>
      </c>
      <c r="F155" s="2" t="s">
        <v>11</v>
      </c>
      <c r="G155">
        <v>2</v>
      </c>
      <c r="H155">
        <v>300</v>
      </c>
      <c r="I155" s="8">
        <f>Table4[[#This Row],[Quantity]]*Table4[[#This Row],[Price per Unit]]</f>
        <v>600</v>
      </c>
      <c r="J155">
        <v>600</v>
      </c>
      <c r="K155" s="8" t="str">
        <f>IF(Table4[[#This Row],[Total Amount]]=Table4[[#This Row],[Calculated Total]],"Correct","Check")</f>
        <v>Correct</v>
      </c>
      <c r="L155" s="8"/>
    </row>
    <row r="156" spans="1:12" hidden="1">
      <c r="A156" s="2">
        <v>128</v>
      </c>
      <c r="B156" s="1">
        <v>45112</v>
      </c>
      <c r="C156" t="s">
        <v>141</v>
      </c>
      <c r="D156" t="s">
        <v>10</v>
      </c>
      <c r="E156">
        <v>25</v>
      </c>
      <c r="F156" s="2" t="s">
        <v>11</v>
      </c>
      <c r="G156">
        <v>1</v>
      </c>
      <c r="H156">
        <v>500</v>
      </c>
      <c r="I156" s="8">
        <f>Table4[[#This Row],[Quantity]]*Table4[[#This Row],[Price per Unit]]</f>
        <v>500</v>
      </c>
      <c r="J156">
        <v>500</v>
      </c>
      <c r="K156" s="8" t="str">
        <f>IF(Table4[[#This Row],[Total Amount]]=Table4[[#This Row],[Calculated Total]],"Correct","Check")</f>
        <v>Correct</v>
      </c>
      <c r="L156" s="8"/>
    </row>
    <row r="157" spans="1:12" hidden="1">
      <c r="A157" s="2">
        <v>539</v>
      </c>
      <c r="B157" s="1">
        <v>45085</v>
      </c>
      <c r="C157" t="s">
        <v>552</v>
      </c>
      <c r="D157" t="s">
        <v>10</v>
      </c>
      <c r="E157">
        <v>25</v>
      </c>
      <c r="F157" s="2" t="s">
        <v>11</v>
      </c>
      <c r="G157">
        <v>1</v>
      </c>
      <c r="H157">
        <v>500</v>
      </c>
      <c r="I157" s="8">
        <f>Table4[[#This Row],[Quantity]]*Table4[[#This Row],[Price per Unit]]</f>
        <v>500</v>
      </c>
      <c r="J157">
        <v>500</v>
      </c>
      <c r="K157" s="8" t="str">
        <f>IF(Table4[[#This Row],[Total Amount]]=Table4[[#This Row],[Calculated Total]],"Correct","Check")</f>
        <v>Correct</v>
      </c>
      <c r="L157" s="8"/>
    </row>
    <row r="158" spans="1:12" hidden="1">
      <c r="A158" s="2">
        <v>68</v>
      </c>
      <c r="B158" s="1">
        <v>44967</v>
      </c>
      <c r="C158" t="s">
        <v>81</v>
      </c>
      <c r="D158" t="s">
        <v>10</v>
      </c>
      <c r="E158">
        <v>25</v>
      </c>
      <c r="F158" s="2" t="s">
        <v>16</v>
      </c>
      <c r="G158">
        <v>1</v>
      </c>
      <c r="H158">
        <v>300</v>
      </c>
      <c r="I158" s="8">
        <f>Table4[[#This Row],[Quantity]]*Table4[[#This Row],[Price per Unit]]</f>
        <v>300</v>
      </c>
      <c r="J158">
        <v>300</v>
      </c>
      <c r="K158" s="8" t="str">
        <f>IF(Table4[[#This Row],[Total Amount]]=Table4[[#This Row],[Calculated Total]],"Correct","Check")</f>
        <v>Correct</v>
      </c>
      <c r="L158" s="8"/>
    </row>
    <row r="159" spans="1:12" hidden="1">
      <c r="A159" s="2">
        <v>555</v>
      </c>
      <c r="B159" s="1">
        <v>45218</v>
      </c>
      <c r="C159" t="s">
        <v>568</v>
      </c>
      <c r="D159" t="s">
        <v>10</v>
      </c>
      <c r="E159">
        <v>25</v>
      </c>
      <c r="F159" s="2" t="s">
        <v>11</v>
      </c>
      <c r="G159">
        <v>1</v>
      </c>
      <c r="H159">
        <v>300</v>
      </c>
      <c r="I159" s="8">
        <f>Table4[[#This Row],[Quantity]]*Table4[[#This Row],[Price per Unit]]</f>
        <v>300</v>
      </c>
      <c r="J159">
        <v>300</v>
      </c>
      <c r="K159" s="8" t="str">
        <f>IF(Table4[[#This Row],[Total Amount]]=Table4[[#This Row],[Calculated Total]],"Correct","Check")</f>
        <v>Correct</v>
      </c>
      <c r="L159" s="8"/>
    </row>
    <row r="160" spans="1:12" hidden="1">
      <c r="A160" s="2">
        <v>868</v>
      </c>
      <c r="B160" s="1">
        <v>45266</v>
      </c>
      <c r="C160" t="s">
        <v>881</v>
      </c>
      <c r="D160" t="s">
        <v>13</v>
      </c>
      <c r="E160">
        <v>25</v>
      </c>
      <c r="F160" s="2" t="s">
        <v>16</v>
      </c>
      <c r="G160">
        <v>1</v>
      </c>
      <c r="H160">
        <v>300</v>
      </c>
      <c r="I160" s="8">
        <f>Table4[[#This Row],[Quantity]]*Table4[[#This Row],[Price per Unit]]</f>
        <v>300</v>
      </c>
      <c r="J160">
        <v>300</v>
      </c>
      <c r="K160" s="8" t="str">
        <f>IF(Table4[[#This Row],[Total Amount]]=Table4[[#This Row],[Calculated Total]],"Correct","Check")</f>
        <v>Correct</v>
      </c>
      <c r="L160" s="8"/>
    </row>
    <row r="161" spans="1:12" hidden="1">
      <c r="A161" s="2">
        <v>925</v>
      </c>
      <c r="B161" s="1">
        <v>45172</v>
      </c>
      <c r="C161" t="s">
        <v>938</v>
      </c>
      <c r="D161" t="s">
        <v>10</v>
      </c>
      <c r="E161">
        <v>25</v>
      </c>
      <c r="F161" s="2" t="s">
        <v>16</v>
      </c>
      <c r="G161">
        <v>1</v>
      </c>
      <c r="H161">
        <v>300</v>
      </c>
      <c r="I161" s="8">
        <f>Table4[[#This Row],[Quantity]]*Table4[[#This Row],[Price per Unit]]</f>
        <v>300</v>
      </c>
      <c r="J161">
        <v>300</v>
      </c>
      <c r="K161" s="8" t="str">
        <f>IF(Table4[[#This Row],[Total Amount]]=Table4[[#This Row],[Calculated Total]],"Correct","Check")</f>
        <v>Correct</v>
      </c>
      <c r="L161" s="8"/>
    </row>
    <row r="162" spans="1:12">
      <c r="A162" s="2">
        <v>330</v>
      </c>
      <c r="B162" s="1">
        <v>45187</v>
      </c>
      <c r="C162" t="s">
        <v>343</v>
      </c>
      <c r="D162" t="s">
        <v>13</v>
      </c>
      <c r="E162">
        <v>25</v>
      </c>
      <c r="F162" s="2" t="s">
        <v>11</v>
      </c>
      <c r="G162">
        <v>4</v>
      </c>
      <c r="H162">
        <v>50</v>
      </c>
      <c r="I162" s="8">
        <f>Table4[[#This Row],[Quantity]]*Table4[[#This Row],[Price per Unit]]</f>
        <v>200</v>
      </c>
      <c r="J162">
        <v>200</v>
      </c>
      <c r="K162" s="8" t="str">
        <f>IF(Table4[[#This Row],[Total Amount]]=Table4[[#This Row],[Calculated Total]],"Correct","Check")</f>
        <v>Correct</v>
      </c>
      <c r="L162" s="8"/>
    </row>
    <row r="163" spans="1:12">
      <c r="A163" s="2">
        <v>449</v>
      </c>
      <c r="B163" s="1">
        <v>45110</v>
      </c>
      <c r="C163" t="s">
        <v>462</v>
      </c>
      <c r="D163" t="s">
        <v>10</v>
      </c>
      <c r="E163">
        <v>25</v>
      </c>
      <c r="F163" s="2" t="s">
        <v>16</v>
      </c>
      <c r="G163">
        <v>4</v>
      </c>
      <c r="H163">
        <v>50</v>
      </c>
      <c r="I163" s="8">
        <f>Table4[[#This Row],[Quantity]]*Table4[[#This Row],[Price per Unit]]</f>
        <v>200</v>
      </c>
      <c r="J163">
        <v>200</v>
      </c>
      <c r="K163" s="8" t="str">
        <f>IF(Table4[[#This Row],[Total Amount]]=Table4[[#This Row],[Calculated Total]],"Correct","Check")</f>
        <v>Correct</v>
      </c>
      <c r="L163" s="8"/>
    </row>
    <row r="164" spans="1:12">
      <c r="A164" s="2">
        <v>740</v>
      </c>
      <c r="B164" s="1">
        <v>44962</v>
      </c>
      <c r="C164" t="s">
        <v>753</v>
      </c>
      <c r="D164" t="s">
        <v>13</v>
      </c>
      <c r="E164">
        <v>25</v>
      </c>
      <c r="F164" s="2" t="s">
        <v>11</v>
      </c>
      <c r="G164">
        <v>4</v>
      </c>
      <c r="H164">
        <v>50</v>
      </c>
      <c r="I164" s="8">
        <f>Table4[[#This Row],[Quantity]]*Table4[[#This Row],[Price per Unit]]</f>
        <v>200</v>
      </c>
      <c r="J164">
        <v>200</v>
      </c>
      <c r="K164" s="8" t="str">
        <f>IF(Table4[[#This Row],[Total Amount]]=Table4[[#This Row],[Calculated Total]],"Correct","Check")</f>
        <v>Correct</v>
      </c>
      <c r="L164" s="8"/>
    </row>
    <row r="165" spans="1:12">
      <c r="A165" s="2">
        <v>748</v>
      </c>
      <c r="B165" s="1">
        <v>45005</v>
      </c>
      <c r="C165" t="s">
        <v>761</v>
      </c>
      <c r="D165" t="s">
        <v>10</v>
      </c>
      <c r="E165">
        <v>25</v>
      </c>
      <c r="F165" s="2" t="s">
        <v>14</v>
      </c>
      <c r="G165">
        <v>3</v>
      </c>
      <c r="H165">
        <v>50</v>
      </c>
      <c r="I165" s="8">
        <f>Table4[[#This Row],[Quantity]]*Table4[[#This Row],[Price per Unit]]</f>
        <v>150</v>
      </c>
      <c r="J165">
        <v>150</v>
      </c>
      <c r="K165" s="8" t="str">
        <f>IF(Table4[[#This Row],[Total Amount]]=Table4[[#This Row],[Calculated Total]],"Correct","Check")</f>
        <v>Correct</v>
      </c>
      <c r="L165" s="8"/>
    </row>
    <row r="166" spans="1:12">
      <c r="A166" s="2">
        <v>350</v>
      </c>
      <c r="B166" s="1">
        <v>45216</v>
      </c>
      <c r="C166" t="s">
        <v>363</v>
      </c>
      <c r="D166" t="s">
        <v>10</v>
      </c>
      <c r="E166">
        <v>25</v>
      </c>
      <c r="F166" s="2" t="s">
        <v>11</v>
      </c>
      <c r="G166">
        <v>3</v>
      </c>
      <c r="H166">
        <v>25</v>
      </c>
      <c r="I166" s="8">
        <f>Table4[[#This Row],[Quantity]]*Table4[[#This Row],[Price per Unit]]</f>
        <v>75</v>
      </c>
      <c r="J166">
        <v>75</v>
      </c>
      <c r="K166" s="8" t="str">
        <f>IF(Table4[[#This Row],[Total Amount]]=Table4[[#This Row],[Calculated Total]],"Correct","Check")</f>
        <v>Correct</v>
      </c>
      <c r="L166" s="8"/>
    </row>
    <row r="167" spans="1:12" hidden="1">
      <c r="A167" s="2">
        <v>560</v>
      </c>
      <c r="B167" s="1">
        <v>45082</v>
      </c>
      <c r="C167" t="s">
        <v>573</v>
      </c>
      <c r="D167" t="s">
        <v>13</v>
      </c>
      <c r="E167">
        <v>25</v>
      </c>
      <c r="F167" s="2" t="s">
        <v>16</v>
      </c>
      <c r="G167">
        <v>1</v>
      </c>
      <c r="H167">
        <v>50</v>
      </c>
      <c r="I167" s="8">
        <f>Table4[[#This Row],[Quantity]]*Table4[[#This Row],[Price per Unit]]</f>
        <v>50</v>
      </c>
      <c r="J167">
        <v>50</v>
      </c>
      <c r="K167" s="8" t="str">
        <f>IF(Table4[[#This Row],[Total Amount]]=Table4[[#This Row],[Calculated Total]],"Correct","Check")</f>
        <v>Correct</v>
      </c>
      <c r="L167" s="8"/>
    </row>
    <row r="168" spans="1:12" hidden="1">
      <c r="A168" s="2">
        <v>170</v>
      </c>
      <c r="B168" s="1">
        <v>45079</v>
      </c>
      <c r="C168" t="s">
        <v>183</v>
      </c>
      <c r="D168" t="s">
        <v>13</v>
      </c>
      <c r="E168">
        <v>25</v>
      </c>
      <c r="F168" s="2" t="s">
        <v>14</v>
      </c>
      <c r="G168">
        <v>2</v>
      </c>
      <c r="H168">
        <v>25</v>
      </c>
      <c r="I168" s="8">
        <f>Table4[[#This Row],[Quantity]]*Table4[[#This Row],[Price per Unit]]</f>
        <v>50</v>
      </c>
      <c r="J168">
        <v>50</v>
      </c>
      <c r="K168" s="8" t="str">
        <f>IF(Table4[[#This Row],[Total Amount]]=Table4[[#This Row],[Calculated Total]],"Correct","Check")</f>
        <v>Correct</v>
      </c>
      <c r="L168" s="8"/>
    </row>
    <row r="169" spans="1:12" hidden="1">
      <c r="A169" s="2">
        <v>224</v>
      </c>
      <c r="B169" s="1">
        <v>45100</v>
      </c>
      <c r="C169" t="s">
        <v>237</v>
      </c>
      <c r="D169" t="s">
        <v>13</v>
      </c>
      <c r="E169">
        <v>25</v>
      </c>
      <c r="F169" s="2" t="s">
        <v>14</v>
      </c>
      <c r="G169">
        <v>1</v>
      </c>
      <c r="H169">
        <v>50</v>
      </c>
      <c r="I169" s="8">
        <f>Table4[[#This Row],[Quantity]]*Table4[[#This Row],[Price per Unit]]</f>
        <v>50</v>
      </c>
      <c r="J169">
        <v>50</v>
      </c>
      <c r="K169" s="8" t="str">
        <f>IF(Table4[[#This Row],[Total Amount]]=Table4[[#This Row],[Calculated Total]],"Correct","Check")</f>
        <v>Correct</v>
      </c>
      <c r="L169" s="8"/>
    </row>
    <row r="170" spans="1:12" hidden="1">
      <c r="A170" s="2">
        <v>427</v>
      </c>
      <c r="B170" s="1">
        <v>45153</v>
      </c>
      <c r="C170" t="s">
        <v>440</v>
      </c>
      <c r="D170" t="s">
        <v>10</v>
      </c>
      <c r="E170">
        <v>25</v>
      </c>
      <c r="F170" s="2" t="s">
        <v>16</v>
      </c>
      <c r="G170">
        <v>1</v>
      </c>
      <c r="H170">
        <v>25</v>
      </c>
      <c r="I170" s="8">
        <f>Table4[[#This Row],[Quantity]]*Table4[[#This Row],[Price per Unit]]</f>
        <v>25</v>
      </c>
      <c r="J170">
        <v>25</v>
      </c>
      <c r="K170" s="8" t="str">
        <f>IF(Table4[[#This Row],[Total Amount]]=Table4[[#This Row],[Calculated Total]],"Correct","Check")</f>
        <v>Correct</v>
      </c>
      <c r="L170" s="8"/>
    </row>
    <row r="171" spans="1:12">
      <c r="A171" s="2">
        <v>626</v>
      </c>
      <c r="B171" s="1">
        <v>45198</v>
      </c>
      <c r="C171" t="s">
        <v>639</v>
      </c>
      <c r="D171" t="s">
        <v>13</v>
      </c>
      <c r="E171">
        <v>26</v>
      </c>
      <c r="F171" s="2" t="s">
        <v>14</v>
      </c>
      <c r="G171">
        <v>4</v>
      </c>
      <c r="H171">
        <v>500</v>
      </c>
      <c r="I171" s="8">
        <f>Table4[[#This Row],[Quantity]]*Table4[[#This Row],[Price per Unit]]</f>
        <v>2000</v>
      </c>
      <c r="J171">
        <v>2000</v>
      </c>
      <c r="K171" s="8" t="str">
        <f>IF(Table4[[#This Row],[Total Amount]]=Table4[[#This Row],[Calculated Total]],"Correct","Check")</f>
        <v>Correct</v>
      </c>
      <c r="L171" s="8"/>
    </row>
    <row r="172" spans="1:12">
      <c r="A172" s="2">
        <v>474</v>
      </c>
      <c r="B172" s="1">
        <v>45122</v>
      </c>
      <c r="C172" t="s">
        <v>487</v>
      </c>
      <c r="D172" t="s">
        <v>13</v>
      </c>
      <c r="E172">
        <v>26</v>
      </c>
      <c r="F172" s="2" t="s">
        <v>14</v>
      </c>
      <c r="G172">
        <v>3</v>
      </c>
      <c r="H172">
        <v>500</v>
      </c>
      <c r="I172" s="8">
        <f>Table4[[#This Row],[Quantity]]*Table4[[#This Row],[Price per Unit]]</f>
        <v>1500</v>
      </c>
      <c r="J172">
        <v>1500</v>
      </c>
      <c r="K172" s="8" t="str">
        <f>IF(Table4[[#This Row],[Total Amount]]=Table4[[#This Row],[Calculated Total]],"Correct","Check")</f>
        <v>Correct</v>
      </c>
      <c r="L172" s="8"/>
    </row>
    <row r="173" spans="1:12">
      <c r="A173" s="2">
        <v>710</v>
      </c>
      <c r="B173" s="1">
        <v>45230</v>
      </c>
      <c r="C173" t="s">
        <v>723</v>
      </c>
      <c r="D173" t="s">
        <v>13</v>
      </c>
      <c r="E173">
        <v>26</v>
      </c>
      <c r="F173" s="2" t="s">
        <v>16</v>
      </c>
      <c r="G173">
        <v>3</v>
      </c>
      <c r="H173">
        <v>500</v>
      </c>
      <c r="I173" s="8">
        <f>Table4[[#This Row],[Quantity]]*Table4[[#This Row],[Price per Unit]]</f>
        <v>1500</v>
      </c>
      <c r="J173">
        <v>1500</v>
      </c>
      <c r="K173" s="8" t="str">
        <f>IF(Table4[[#This Row],[Total Amount]]=Table4[[#This Row],[Calculated Total]],"Correct","Check")</f>
        <v>Correct</v>
      </c>
      <c r="L173" s="8"/>
    </row>
    <row r="174" spans="1:12">
      <c r="A174" s="2">
        <v>711</v>
      </c>
      <c r="B174" s="1">
        <v>45215</v>
      </c>
      <c r="C174" t="s">
        <v>724</v>
      </c>
      <c r="D174" t="s">
        <v>10</v>
      </c>
      <c r="E174">
        <v>26</v>
      </c>
      <c r="F174" s="2" t="s">
        <v>16</v>
      </c>
      <c r="G174">
        <v>3</v>
      </c>
      <c r="H174">
        <v>500</v>
      </c>
      <c r="I174" s="8">
        <f>Table4[[#This Row],[Quantity]]*Table4[[#This Row],[Price per Unit]]</f>
        <v>1500</v>
      </c>
      <c r="J174">
        <v>1500</v>
      </c>
      <c r="K174" s="8" t="str">
        <f>IF(Table4[[#This Row],[Total Amount]]=Table4[[#This Row],[Calculated Total]],"Correct","Check")</f>
        <v>Correct</v>
      </c>
      <c r="L174" s="8"/>
    </row>
    <row r="175" spans="1:12" hidden="1">
      <c r="A175" s="2">
        <v>2</v>
      </c>
      <c r="B175" s="1">
        <v>44984</v>
      </c>
      <c r="C175" t="s">
        <v>12</v>
      </c>
      <c r="D175" t="s">
        <v>13</v>
      </c>
      <c r="E175">
        <v>26</v>
      </c>
      <c r="F175" s="2" t="s">
        <v>14</v>
      </c>
      <c r="G175">
        <v>2</v>
      </c>
      <c r="H175">
        <v>500</v>
      </c>
      <c r="I175" s="8">
        <f>Table4[[#This Row],[Quantity]]*Table4[[#This Row],[Price per Unit]]</f>
        <v>1000</v>
      </c>
      <c r="J175">
        <v>1000</v>
      </c>
      <c r="K175" s="8" t="str">
        <f>IF(Table4[[#This Row],[Total Amount]]=Table4[[#This Row],[Calculated Total]],"Correct","Check")</f>
        <v>Correct</v>
      </c>
      <c r="L175" s="8"/>
    </row>
    <row r="176" spans="1:12" hidden="1">
      <c r="A176" s="2">
        <v>453</v>
      </c>
      <c r="B176" s="1">
        <v>45268</v>
      </c>
      <c r="C176" t="s">
        <v>466</v>
      </c>
      <c r="D176" t="s">
        <v>13</v>
      </c>
      <c r="E176">
        <v>26</v>
      </c>
      <c r="F176" s="2" t="s">
        <v>14</v>
      </c>
      <c r="G176">
        <v>2</v>
      </c>
      <c r="H176">
        <v>500</v>
      </c>
      <c r="I176" s="8">
        <f>Table4[[#This Row],[Quantity]]*Table4[[#This Row],[Price per Unit]]</f>
        <v>1000</v>
      </c>
      <c r="J176">
        <v>1000</v>
      </c>
      <c r="K176" s="8" t="str">
        <f>IF(Table4[[#This Row],[Total Amount]]=Table4[[#This Row],[Calculated Total]],"Correct","Check")</f>
        <v>Correct</v>
      </c>
      <c r="L176" s="8"/>
    </row>
    <row r="177" spans="1:12" hidden="1">
      <c r="A177" s="2">
        <v>850</v>
      </c>
      <c r="B177" s="1">
        <v>45135</v>
      </c>
      <c r="C177" t="s">
        <v>863</v>
      </c>
      <c r="D177" t="s">
        <v>13</v>
      </c>
      <c r="E177">
        <v>26</v>
      </c>
      <c r="F177" s="2" t="s">
        <v>11</v>
      </c>
      <c r="G177">
        <v>2</v>
      </c>
      <c r="H177">
        <v>500</v>
      </c>
      <c r="I177" s="8">
        <f>Table4[[#This Row],[Quantity]]*Table4[[#This Row],[Price per Unit]]</f>
        <v>1000</v>
      </c>
      <c r="J177">
        <v>1000</v>
      </c>
      <c r="K177" s="8" t="str">
        <f>IF(Table4[[#This Row],[Total Amount]]=Table4[[#This Row],[Calculated Total]],"Correct","Check")</f>
        <v>Correct</v>
      </c>
      <c r="L177" s="8"/>
    </row>
    <row r="178" spans="1:12">
      <c r="A178" s="2">
        <v>56</v>
      </c>
      <c r="B178" s="1">
        <v>45077</v>
      </c>
      <c r="C178" t="s">
        <v>69</v>
      </c>
      <c r="D178" t="s">
        <v>13</v>
      </c>
      <c r="E178">
        <v>26</v>
      </c>
      <c r="F178" s="2" t="s">
        <v>14</v>
      </c>
      <c r="G178">
        <v>3</v>
      </c>
      <c r="H178">
        <v>300</v>
      </c>
      <c r="I178" s="8">
        <f>Table4[[#This Row],[Quantity]]*Table4[[#This Row],[Price per Unit]]</f>
        <v>900</v>
      </c>
      <c r="J178">
        <v>900</v>
      </c>
      <c r="K178" s="8" t="str">
        <f>IF(Table4[[#This Row],[Total Amount]]=Table4[[#This Row],[Calculated Total]],"Correct","Check")</f>
        <v>Correct</v>
      </c>
      <c r="L178" s="8"/>
    </row>
    <row r="179" spans="1:12">
      <c r="A179" s="2">
        <v>248</v>
      </c>
      <c r="B179" s="1">
        <v>44994</v>
      </c>
      <c r="C179" t="s">
        <v>261</v>
      </c>
      <c r="D179" t="s">
        <v>10</v>
      </c>
      <c r="E179">
        <v>26</v>
      </c>
      <c r="F179" s="2" t="s">
        <v>14</v>
      </c>
      <c r="G179">
        <v>3</v>
      </c>
      <c r="H179">
        <v>300</v>
      </c>
      <c r="I179" s="8">
        <f>Table4[[#This Row],[Quantity]]*Table4[[#This Row],[Price per Unit]]</f>
        <v>900</v>
      </c>
      <c r="J179">
        <v>900</v>
      </c>
      <c r="K179" s="8" t="str">
        <f>IF(Table4[[#This Row],[Total Amount]]=Table4[[#This Row],[Calculated Total]],"Correct","Check")</f>
        <v>Correct</v>
      </c>
      <c r="L179" s="8"/>
    </row>
    <row r="180" spans="1:12" hidden="1">
      <c r="A180" s="2">
        <v>610</v>
      </c>
      <c r="B180" s="1">
        <v>44929</v>
      </c>
      <c r="C180" t="s">
        <v>623</v>
      </c>
      <c r="D180" t="s">
        <v>13</v>
      </c>
      <c r="E180">
        <v>26</v>
      </c>
      <c r="F180" s="2" t="s">
        <v>11</v>
      </c>
      <c r="G180">
        <v>2</v>
      </c>
      <c r="H180">
        <v>300</v>
      </c>
      <c r="I180" s="8">
        <f>Table4[[#This Row],[Quantity]]*Table4[[#This Row],[Price per Unit]]</f>
        <v>600</v>
      </c>
      <c r="J180">
        <v>600</v>
      </c>
      <c r="K180" s="8" t="str">
        <f>IF(Table4[[#This Row],[Total Amount]]=Table4[[#This Row],[Calculated Total]],"Correct","Check")</f>
        <v>Correct</v>
      </c>
      <c r="L180" s="8"/>
    </row>
    <row r="181" spans="1:12" hidden="1">
      <c r="A181" s="2">
        <v>899</v>
      </c>
      <c r="B181" s="1">
        <v>45071</v>
      </c>
      <c r="C181" t="s">
        <v>912</v>
      </c>
      <c r="D181" t="s">
        <v>10</v>
      </c>
      <c r="E181">
        <v>26</v>
      </c>
      <c r="F181" s="2" t="s">
        <v>14</v>
      </c>
      <c r="G181">
        <v>2</v>
      </c>
      <c r="H181">
        <v>300</v>
      </c>
      <c r="I181" s="8">
        <f>Table4[[#This Row],[Quantity]]*Table4[[#This Row],[Price per Unit]]</f>
        <v>600</v>
      </c>
      <c r="J181">
        <v>600</v>
      </c>
      <c r="K181" s="8" t="str">
        <f>IF(Table4[[#This Row],[Total Amount]]=Table4[[#This Row],[Calculated Total]],"Correct","Check")</f>
        <v>Correct</v>
      </c>
      <c r="L181" s="8"/>
    </row>
    <row r="182" spans="1:12" hidden="1">
      <c r="A182" s="2">
        <v>707</v>
      </c>
      <c r="B182" s="1">
        <v>45200</v>
      </c>
      <c r="C182" t="s">
        <v>720</v>
      </c>
      <c r="D182" t="s">
        <v>13</v>
      </c>
      <c r="E182">
        <v>26</v>
      </c>
      <c r="F182" s="2" t="s">
        <v>14</v>
      </c>
      <c r="G182">
        <v>1</v>
      </c>
      <c r="H182">
        <v>500</v>
      </c>
      <c r="I182" s="8">
        <f>Table4[[#This Row],[Quantity]]*Table4[[#This Row],[Price per Unit]]</f>
        <v>500</v>
      </c>
      <c r="J182">
        <v>500</v>
      </c>
      <c r="K182" s="8" t="str">
        <f>IF(Table4[[#This Row],[Total Amount]]=Table4[[#This Row],[Calculated Total]],"Correct","Check")</f>
        <v>Correct</v>
      </c>
      <c r="L182" s="8"/>
    </row>
    <row r="183" spans="1:12" hidden="1">
      <c r="A183" s="2">
        <v>909</v>
      </c>
      <c r="B183" s="1">
        <v>45200</v>
      </c>
      <c r="C183" t="s">
        <v>922</v>
      </c>
      <c r="D183" t="s">
        <v>10</v>
      </c>
      <c r="E183">
        <v>26</v>
      </c>
      <c r="F183" s="2" t="s">
        <v>16</v>
      </c>
      <c r="G183">
        <v>1</v>
      </c>
      <c r="H183">
        <v>300</v>
      </c>
      <c r="I183" s="8">
        <f>Table4[[#This Row],[Quantity]]*Table4[[#This Row],[Price per Unit]]</f>
        <v>300</v>
      </c>
      <c r="J183">
        <v>300</v>
      </c>
      <c r="K183" s="8" t="str">
        <f>IF(Table4[[#This Row],[Total Amount]]=Table4[[#This Row],[Calculated Total]],"Correct","Check")</f>
        <v>Correct</v>
      </c>
      <c r="L183" s="8"/>
    </row>
    <row r="184" spans="1:12">
      <c r="A184" s="2">
        <v>159</v>
      </c>
      <c r="B184" s="1">
        <v>45077</v>
      </c>
      <c r="C184" t="s">
        <v>172</v>
      </c>
      <c r="D184" t="s">
        <v>10</v>
      </c>
      <c r="E184">
        <v>26</v>
      </c>
      <c r="F184" s="2" t="s">
        <v>14</v>
      </c>
      <c r="G184">
        <v>4</v>
      </c>
      <c r="H184">
        <v>50</v>
      </c>
      <c r="I184" s="8">
        <f>Table4[[#This Row],[Quantity]]*Table4[[#This Row],[Price per Unit]]</f>
        <v>200</v>
      </c>
      <c r="J184">
        <v>200</v>
      </c>
      <c r="K184" s="8" t="str">
        <f>IF(Table4[[#This Row],[Total Amount]]=Table4[[#This Row],[Calculated Total]],"Correct","Check")</f>
        <v>Correct</v>
      </c>
      <c r="L184" s="8"/>
    </row>
    <row r="185" spans="1:12">
      <c r="A185" s="2">
        <v>632</v>
      </c>
      <c r="B185" s="1">
        <v>45185</v>
      </c>
      <c r="C185" t="s">
        <v>645</v>
      </c>
      <c r="D185" t="s">
        <v>13</v>
      </c>
      <c r="E185">
        <v>26</v>
      </c>
      <c r="F185" s="2" t="s">
        <v>16</v>
      </c>
      <c r="G185">
        <v>4</v>
      </c>
      <c r="H185">
        <v>25</v>
      </c>
      <c r="I185" s="8">
        <f>Table4[[#This Row],[Quantity]]*Table4[[#This Row],[Price per Unit]]</f>
        <v>100</v>
      </c>
      <c r="J185">
        <v>100</v>
      </c>
      <c r="K185" s="8" t="str">
        <f>IF(Table4[[#This Row],[Total Amount]]=Table4[[#This Row],[Calculated Total]],"Correct","Check")</f>
        <v>Correct</v>
      </c>
      <c r="L185" s="8"/>
    </row>
    <row r="186" spans="1:12">
      <c r="A186" s="2">
        <v>915</v>
      </c>
      <c r="B186" s="1">
        <v>45076</v>
      </c>
      <c r="C186" t="s">
        <v>928</v>
      </c>
      <c r="D186" t="s">
        <v>13</v>
      </c>
      <c r="E186">
        <v>26</v>
      </c>
      <c r="F186" s="2" t="s">
        <v>11</v>
      </c>
      <c r="G186">
        <v>3</v>
      </c>
      <c r="H186">
        <v>30</v>
      </c>
      <c r="I186" s="8">
        <f>Table4[[#This Row],[Quantity]]*Table4[[#This Row],[Price per Unit]]</f>
        <v>90</v>
      </c>
      <c r="J186">
        <v>90</v>
      </c>
      <c r="K186" s="8" t="str">
        <f>IF(Table4[[#This Row],[Total Amount]]=Table4[[#This Row],[Calculated Total]],"Correct","Check")</f>
        <v>Correct</v>
      </c>
      <c r="L186" s="8"/>
    </row>
    <row r="187" spans="1:12">
      <c r="A187" s="2">
        <v>475</v>
      </c>
      <c r="B187" s="1">
        <v>44946</v>
      </c>
      <c r="C187" t="s">
        <v>488</v>
      </c>
      <c r="D187" t="s">
        <v>10</v>
      </c>
      <c r="E187">
        <v>26</v>
      </c>
      <c r="F187" s="2" t="s">
        <v>14</v>
      </c>
      <c r="G187">
        <v>3</v>
      </c>
      <c r="H187">
        <v>25</v>
      </c>
      <c r="I187" s="8">
        <f>Table4[[#This Row],[Quantity]]*Table4[[#This Row],[Price per Unit]]</f>
        <v>75</v>
      </c>
      <c r="J187">
        <v>75</v>
      </c>
      <c r="K187" s="8" t="str">
        <f>IF(Table4[[#This Row],[Total Amount]]=Table4[[#This Row],[Calculated Total]],"Correct","Check")</f>
        <v>Correct</v>
      </c>
      <c r="L187" s="8"/>
    </row>
    <row r="188" spans="1:12" hidden="1">
      <c r="A188" s="2">
        <v>884</v>
      </c>
      <c r="B188" s="1">
        <v>45045</v>
      </c>
      <c r="C188" t="s">
        <v>897</v>
      </c>
      <c r="D188" t="s">
        <v>13</v>
      </c>
      <c r="E188">
        <v>26</v>
      </c>
      <c r="F188" s="2" t="s">
        <v>14</v>
      </c>
      <c r="G188">
        <v>2</v>
      </c>
      <c r="H188">
        <v>30</v>
      </c>
      <c r="I188" s="8">
        <f>Table4[[#This Row],[Quantity]]*Table4[[#This Row],[Price per Unit]]</f>
        <v>60</v>
      </c>
      <c r="J188">
        <v>60</v>
      </c>
      <c r="K188" s="8" t="str">
        <f>IF(Table4[[#This Row],[Total Amount]]=Table4[[#This Row],[Calculated Total]],"Correct","Check")</f>
        <v>Correct</v>
      </c>
      <c r="L188" s="8"/>
    </row>
    <row r="189" spans="1:12" hidden="1">
      <c r="A189" s="2">
        <v>307</v>
      </c>
      <c r="B189" s="1">
        <v>45073</v>
      </c>
      <c r="C189" t="s">
        <v>320</v>
      </c>
      <c r="D189" t="s">
        <v>13</v>
      </c>
      <c r="E189">
        <v>26</v>
      </c>
      <c r="F189" s="2" t="s">
        <v>16</v>
      </c>
      <c r="G189">
        <v>2</v>
      </c>
      <c r="H189">
        <v>25</v>
      </c>
      <c r="I189" s="8">
        <f>Table4[[#This Row],[Quantity]]*Table4[[#This Row],[Price per Unit]]</f>
        <v>50</v>
      </c>
      <c r="J189">
        <v>50</v>
      </c>
      <c r="K189" s="8" t="str">
        <f>IF(Table4[[#This Row],[Total Amount]]=Table4[[#This Row],[Calculated Total]],"Correct","Check")</f>
        <v>Correct</v>
      </c>
      <c r="L189" s="8"/>
    </row>
    <row r="190" spans="1:12" hidden="1">
      <c r="A190" s="2">
        <v>321</v>
      </c>
      <c r="B190" s="1">
        <v>45087</v>
      </c>
      <c r="C190" t="s">
        <v>334</v>
      </c>
      <c r="D190" t="s">
        <v>13</v>
      </c>
      <c r="E190">
        <v>26</v>
      </c>
      <c r="F190" s="2" t="s">
        <v>16</v>
      </c>
      <c r="G190">
        <v>2</v>
      </c>
      <c r="H190">
        <v>25</v>
      </c>
      <c r="I190" s="8">
        <f>Table4[[#This Row],[Quantity]]*Table4[[#This Row],[Price per Unit]]</f>
        <v>50</v>
      </c>
      <c r="J190">
        <v>50</v>
      </c>
      <c r="K190" s="8" t="str">
        <f>IF(Table4[[#This Row],[Total Amount]]=Table4[[#This Row],[Calculated Total]],"Correct","Check")</f>
        <v>Correct</v>
      </c>
      <c r="L190" s="8"/>
    </row>
    <row r="191" spans="1:12" hidden="1">
      <c r="A191" s="2">
        <v>772</v>
      </c>
      <c r="B191" s="1">
        <v>45119</v>
      </c>
      <c r="C191" t="s">
        <v>785</v>
      </c>
      <c r="D191" t="s">
        <v>10</v>
      </c>
      <c r="E191">
        <v>26</v>
      </c>
      <c r="F191" s="2" t="s">
        <v>16</v>
      </c>
      <c r="G191">
        <v>1</v>
      </c>
      <c r="H191">
        <v>30</v>
      </c>
      <c r="I191" s="8">
        <f>Table4[[#This Row],[Quantity]]*Table4[[#This Row],[Price per Unit]]</f>
        <v>30</v>
      </c>
      <c r="J191">
        <v>30</v>
      </c>
      <c r="K191" s="8" t="str">
        <f>IF(Table4[[#This Row],[Total Amount]]=Table4[[#This Row],[Calculated Total]],"Correct","Check")</f>
        <v>Correct</v>
      </c>
      <c r="L191" s="8"/>
    </row>
    <row r="192" spans="1:12" hidden="1">
      <c r="A192" s="2">
        <v>309</v>
      </c>
      <c r="B192" s="1">
        <v>45283</v>
      </c>
      <c r="C192" t="s">
        <v>322</v>
      </c>
      <c r="D192" t="s">
        <v>13</v>
      </c>
      <c r="E192">
        <v>26</v>
      </c>
      <c r="F192" s="2" t="s">
        <v>11</v>
      </c>
      <c r="G192">
        <v>1</v>
      </c>
      <c r="H192">
        <v>25</v>
      </c>
      <c r="I192" s="8">
        <f>Table4[[#This Row],[Quantity]]*Table4[[#This Row],[Price per Unit]]</f>
        <v>25</v>
      </c>
      <c r="J192">
        <v>25</v>
      </c>
      <c r="K192" s="8" t="str">
        <f>IF(Table4[[#This Row],[Total Amount]]=Table4[[#This Row],[Calculated Total]],"Correct","Check")</f>
        <v>Correct</v>
      </c>
      <c r="L192" s="8"/>
    </row>
    <row r="193" spans="1:12">
      <c r="A193" s="2">
        <v>476</v>
      </c>
      <c r="B193" s="1">
        <v>45167</v>
      </c>
      <c r="C193" t="s">
        <v>489</v>
      </c>
      <c r="D193" t="s">
        <v>13</v>
      </c>
      <c r="E193">
        <v>27</v>
      </c>
      <c r="F193" s="2" t="s">
        <v>14</v>
      </c>
      <c r="G193">
        <v>4</v>
      </c>
      <c r="H193">
        <v>500</v>
      </c>
      <c r="I193" s="8">
        <f>Table4[[#This Row],[Quantity]]*Table4[[#This Row],[Price per Unit]]</f>
        <v>2000</v>
      </c>
      <c r="J193">
        <v>2000</v>
      </c>
      <c r="K193" s="8" t="str">
        <f>IF(Table4[[#This Row],[Total Amount]]=Table4[[#This Row],[Calculated Total]],"Correct","Check")</f>
        <v>Correct</v>
      </c>
      <c r="L193" s="8"/>
    </row>
    <row r="194" spans="1:12">
      <c r="A194" s="2">
        <v>213</v>
      </c>
      <c r="B194" s="1">
        <v>45131</v>
      </c>
      <c r="C194" t="s">
        <v>226</v>
      </c>
      <c r="D194" t="s">
        <v>10</v>
      </c>
      <c r="E194">
        <v>27</v>
      </c>
      <c r="F194" s="2" t="s">
        <v>11</v>
      </c>
      <c r="G194">
        <v>3</v>
      </c>
      <c r="H194">
        <v>500</v>
      </c>
      <c r="I194" s="8">
        <f>Table4[[#This Row],[Quantity]]*Table4[[#This Row],[Price per Unit]]</f>
        <v>1500</v>
      </c>
      <c r="J194">
        <v>1500</v>
      </c>
      <c r="K194" s="8" t="str">
        <f>IF(Table4[[#This Row],[Total Amount]]=Table4[[#This Row],[Calculated Total]],"Correct","Check")</f>
        <v>Correct</v>
      </c>
      <c r="L194" s="8"/>
    </row>
    <row r="195" spans="1:12">
      <c r="A195" s="2">
        <v>298</v>
      </c>
      <c r="B195" s="1">
        <v>45036</v>
      </c>
      <c r="C195" t="s">
        <v>311</v>
      </c>
      <c r="D195" t="s">
        <v>10</v>
      </c>
      <c r="E195">
        <v>27</v>
      </c>
      <c r="F195" s="2" t="s">
        <v>11</v>
      </c>
      <c r="G195">
        <v>4</v>
      </c>
      <c r="H195">
        <v>300</v>
      </c>
      <c r="I195" s="8">
        <f>Table4[[#This Row],[Quantity]]*Table4[[#This Row],[Price per Unit]]</f>
        <v>1200</v>
      </c>
      <c r="J195">
        <v>1200</v>
      </c>
      <c r="K195" s="8" t="str">
        <f>IF(Table4[[#This Row],[Total Amount]]=Table4[[#This Row],[Calculated Total]],"Correct","Check")</f>
        <v>Correct</v>
      </c>
      <c r="L195" s="8"/>
    </row>
    <row r="196" spans="1:12">
      <c r="A196" s="2">
        <v>110</v>
      </c>
      <c r="B196" s="1">
        <v>45088</v>
      </c>
      <c r="C196" t="s">
        <v>123</v>
      </c>
      <c r="D196" t="s">
        <v>10</v>
      </c>
      <c r="E196">
        <v>27</v>
      </c>
      <c r="F196" s="2" t="s">
        <v>14</v>
      </c>
      <c r="G196">
        <v>3</v>
      </c>
      <c r="H196">
        <v>300</v>
      </c>
      <c r="I196" s="8">
        <f>Table4[[#This Row],[Quantity]]*Table4[[#This Row],[Price per Unit]]</f>
        <v>900</v>
      </c>
      <c r="J196">
        <v>900</v>
      </c>
      <c r="K196" s="8" t="str">
        <f>IF(Table4[[#This Row],[Total Amount]]=Table4[[#This Row],[Calculated Total]],"Correct","Check")</f>
        <v>Correct</v>
      </c>
      <c r="L196" s="8"/>
    </row>
    <row r="197" spans="1:12">
      <c r="A197" s="2">
        <v>295</v>
      </c>
      <c r="B197" s="1">
        <v>45135</v>
      </c>
      <c r="C197" t="s">
        <v>308</v>
      </c>
      <c r="D197" t="s">
        <v>13</v>
      </c>
      <c r="E197">
        <v>27</v>
      </c>
      <c r="F197" s="2" t="s">
        <v>11</v>
      </c>
      <c r="G197">
        <v>3</v>
      </c>
      <c r="H197">
        <v>300</v>
      </c>
      <c r="I197" s="8">
        <f>Table4[[#This Row],[Quantity]]*Table4[[#This Row],[Price per Unit]]</f>
        <v>900</v>
      </c>
      <c r="J197">
        <v>900</v>
      </c>
      <c r="K197" s="8" t="str">
        <f>IF(Table4[[#This Row],[Total Amount]]=Table4[[#This Row],[Calculated Total]],"Correct","Check")</f>
        <v>Correct</v>
      </c>
      <c r="L197" s="8"/>
    </row>
    <row r="198" spans="1:12" hidden="1">
      <c r="A198" s="2">
        <v>392</v>
      </c>
      <c r="B198" s="1">
        <v>45268</v>
      </c>
      <c r="C198" t="s">
        <v>405</v>
      </c>
      <c r="D198" t="s">
        <v>10</v>
      </c>
      <c r="E198">
        <v>27</v>
      </c>
      <c r="F198" s="2" t="s">
        <v>14</v>
      </c>
      <c r="G198">
        <v>2</v>
      </c>
      <c r="H198">
        <v>300</v>
      </c>
      <c r="I198" s="8">
        <f>Table4[[#This Row],[Quantity]]*Table4[[#This Row],[Price per Unit]]</f>
        <v>600</v>
      </c>
      <c r="J198">
        <v>600</v>
      </c>
      <c r="K198" s="8" t="str">
        <f>IF(Table4[[#This Row],[Total Amount]]=Table4[[#This Row],[Calculated Total]],"Correct","Check")</f>
        <v>Correct</v>
      </c>
      <c r="L198" s="8"/>
    </row>
    <row r="199" spans="1:12" hidden="1">
      <c r="A199" s="2">
        <v>394</v>
      </c>
      <c r="B199" s="1">
        <v>45080</v>
      </c>
      <c r="C199" t="s">
        <v>407</v>
      </c>
      <c r="D199" t="s">
        <v>13</v>
      </c>
      <c r="E199">
        <v>27</v>
      </c>
      <c r="F199" s="2" t="s">
        <v>14</v>
      </c>
      <c r="G199">
        <v>1</v>
      </c>
      <c r="H199">
        <v>500</v>
      </c>
      <c r="I199" s="8">
        <f>Table4[[#This Row],[Quantity]]*Table4[[#This Row],[Price per Unit]]</f>
        <v>500</v>
      </c>
      <c r="J199">
        <v>500</v>
      </c>
      <c r="K199" s="8" t="str">
        <f>IF(Table4[[#This Row],[Total Amount]]=Table4[[#This Row],[Calculated Total]],"Correct","Check")</f>
        <v>Correct</v>
      </c>
      <c r="L199" s="8"/>
    </row>
    <row r="200" spans="1:12" hidden="1">
      <c r="A200" s="2">
        <v>760</v>
      </c>
      <c r="B200" s="1">
        <v>45012</v>
      </c>
      <c r="C200" t="s">
        <v>773</v>
      </c>
      <c r="D200" t="s">
        <v>10</v>
      </c>
      <c r="E200">
        <v>27</v>
      </c>
      <c r="F200" s="2" t="s">
        <v>11</v>
      </c>
      <c r="G200">
        <v>1</v>
      </c>
      <c r="H200">
        <v>500</v>
      </c>
      <c r="I200" s="8">
        <f>Table4[[#This Row],[Quantity]]*Table4[[#This Row],[Price per Unit]]</f>
        <v>500</v>
      </c>
      <c r="J200">
        <v>500</v>
      </c>
      <c r="K200" s="8" t="str">
        <f>IF(Table4[[#This Row],[Total Amount]]=Table4[[#This Row],[Calculated Total]],"Correct","Check")</f>
        <v>Correct</v>
      </c>
      <c r="L200" s="8"/>
    </row>
    <row r="201" spans="1:12">
      <c r="A201" s="2">
        <v>584</v>
      </c>
      <c r="B201" s="1">
        <v>44974</v>
      </c>
      <c r="C201" t="s">
        <v>597</v>
      </c>
      <c r="D201" t="s">
        <v>13</v>
      </c>
      <c r="E201">
        <v>27</v>
      </c>
      <c r="F201" s="2" t="s">
        <v>11</v>
      </c>
      <c r="G201">
        <v>4</v>
      </c>
      <c r="H201">
        <v>50</v>
      </c>
      <c r="I201" s="8">
        <f>Table4[[#This Row],[Quantity]]*Table4[[#This Row],[Price per Unit]]</f>
        <v>200</v>
      </c>
      <c r="J201">
        <v>200</v>
      </c>
      <c r="K201" s="8" t="str">
        <f>IF(Table4[[#This Row],[Total Amount]]=Table4[[#This Row],[Calculated Total]],"Correct","Check")</f>
        <v>Correct</v>
      </c>
      <c r="L201" s="8"/>
    </row>
    <row r="202" spans="1:12">
      <c r="A202" s="2">
        <v>971</v>
      </c>
      <c r="B202" s="1">
        <v>45265</v>
      </c>
      <c r="C202" t="s">
        <v>984</v>
      </c>
      <c r="D202" t="s">
        <v>13</v>
      </c>
      <c r="E202">
        <v>27</v>
      </c>
      <c r="F202" s="2" t="s">
        <v>16</v>
      </c>
      <c r="G202">
        <v>4</v>
      </c>
      <c r="H202">
        <v>50</v>
      </c>
      <c r="I202" s="8">
        <f>Table4[[#This Row],[Quantity]]*Table4[[#This Row],[Price per Unit]]</f>
        <v>200</v>
      </c>
      <c r="J202">
        <v>200</v>
      </c>
      <c r="K202" s="8" t="str">
        <f>IF(Table4[[#This Row],[Total Amount]]=Table4[[#This Row],[Calculated Total]],"Correct","Check")</f>
        <v>Correct</v>
      </c>
      <c r="L202" s="8"/>
    </row>
    <row r="203" spans="1:12">
      <c r="A203" s="2">
        <v>200</v>
      </c>
      <c r="B203" s="1">
        <v>45170</v>
      </c>
      <c r="C203" t="s">
        <v>213</v>
      </c>
      <c r="D203" t="s">
        <v>10</v>
      </c>
      <c r="E203">
        <v>27</v>
      </c>
      <c r="F203" s="2" t="s">
        <v>11</v>
      </c>
      <c r="G203">
        <v>3</v>
      </c>
      <c r="H203">
        <v>50</v>
      </c>
      <c r="I203" s="8">
        <f>Table4[[#This Row],[Quantity]]*Table4[[#This Row],[Price per Unit]]</f>
        <v>150</v>
      </c>
      <c r="J203">
        <v>150</v>
      </c>
      <c r="K203" s="8" t="str">
        <f>IF(Table4[[#This Row],[Total Amount]]=Table4[[#This Row],[Calculated Total]],"Correct","Check")</f>
        <v>Correct</v>
      </c>
      <c r="L203" s="8"/>
    </row>
    <row r="204" spans="1:12">
      <c r="A204" s="2">
        <v>17</v>
      </c>
      <c r="B204" s="1">
        <v>45038</v>
      </c>
      <c r="C204" t="s">
        <v>30</v>
      </c>
      <c r="D204" t="s">
        <v>13</v>
      </c>
      <c r="E204">
        <v>27</v>
      </c>
      <c r="F204" s="2" t="s">
        <v>14</v>
      </c>
      <c r="G204">
        <v>4</v>
      </c>
      <c r="H204">
        <v>25</v>
      </c>
      <c r="I204" s="8">
        <f>Table4[[#This Row],[Quantity]]*Table4[[#This Row],[Price per Unit]]</f>
        <v>100</v>
      </c>
      <c r="J204">
        <v>100</v>
      </c>
      <c r="K204" s="8" t="str">
        <f>IF(Table4[[#This Row],[Total Amount]]=Table4[[#This Row],[Calculated Total]],"Correct","Check")</f>
        <v>Correct</v>
      </c>
      <c r="L204" s="8"/>
    </row>
    <row r="205" spans="1:12">
      <c r="A205" s="2">
        <v>831</v>
      </c>
      <c r="B205" s="1">
        <v>44941</v>
      </c>
      <c r="C205" t="s">
        <v>844</v>
      </c>
      <c r="D205" t="s">
        <v>10</v>
      </c>
      <c r="E205">
        <v>27</v>
      </c>
      <c r="F205" s="2" t="s">
        <v>16</v>
      </c>
      <c r="G205">
        <v>4</v>
      </c>
      <c r="H205">
        <v>25</v>
      </c>
      <c r="I205" s="8">
        <f>Table4[[#This Row],[Quantity]]*Table4[[#This Row],[Price per Unit]]</f>
        <v>100</v>
      </c>
      <c r="J205">
        <v>100</v>
      </c>
      <c r="K205" s="8" t="str">
        <f>IF(Table4[[#This Row],[Total Amount]]=Table4[[#This Row],[Calculated Total]],"Correct","Check")</f>
        <v>Correct</v>
      </c>
      <c r="L205" s="8"/>
    </row>
    <row r="206" spans="1:12">
      <c r="A206" s="2">
        <v>873</v>
      </c>
      <c r="B206" s="1">
        <v>45198</v>
      </c>
      <c r="C206" t="s">
        <v>886</v>
      </c>
      <c r="D206" t="s">
        <v>13</v>
      </c>
      <c r="E206">
        <v>27</v>
      </c>
      <c r="F206" s="2" t="s">
        <v>16</v>
      </c>
      <c r="G206">
        <v>4</v>
      </c>
      <c r="H206">
        <v>25</v>
      </c>
      <c r="I206" s="8">
        <f>Table4[[#This Row],[Quantity]]*Table4[[#This Row],[Price per Unit]]</f>
        <v>100</v>
      </c>
      <c r="J206">
        <v>100</v>
      </c>
      <c r="K206" s="8" t="str">
        <f>IF(Table4[[#This Row],[Total Amount]]=Table4[[#This Row],[Calculated Total]],"Correct","Check")</f>
        <v>Correct</v>
      </c>
      <c r="L206" s="8"/>
    </row>
    <row r="207" spans="1:12">
      <c r="A207" s="2">
        <v>50</v>
      </c>
      <c r="B207" s="1">
        <v>45162</v>
      </c>
      <c r="C207" t="s">
        <v>63</v>
      </c>
      <c r="D207" t="s">
        <v>13</v>
      </c>
      <c r="E207">
        <v>27</v>
      </c>
      <c r="F207" s="2" t="s">
        <v>11</v>
      </c>
      <c r="G207">
        <v>3</v>
      </c>
      <c r="H207">
        <v>25</v>
      </c>
      <c r="I207" s="8">
        <f>Table4[[#This Row],[Quantity]]*Table4[[#This Row],[Price per Unit]]</f>
        <v>75</v>
      </c>
      <c r="J207">
        <v>75</v>
      </c>
      <c r="K207" s="8" t="str">
        <f>IF(Table4[[#This Row],[Total Amount]]=Table4[[#This Row],[Calculated Total]],"Correct","Check")</f>
        <v>Correct</v>
      </c>
      <c r="L207" s="8"/>
    </row>
    <row r="208" spans="1:12">
      <c r="A208" s="2">
        <v>51</v>
      </c>
      <c r="B208" s="1">
        <v>45201</v>
      </c>
      <c r="C208" t="s">
        <v>64</v>
      </c>
      <c r="D208" t="s">
        <v>10</v>
      </c>
      <c r="E208">
        <v>27</v>
      </c>
      <c r="F208" s="2" t="s">
        <v>11</v>
      </c>
      <c r="G208">
        <v>3</v>
      </c>
      <c r="H208">
        <v>25</v>
      </c>
      <c r="I208" s="8">
        <f>Table4[[#This Row],[Quantity]]*Table4[[#This Row],[Price per Unit]]</f>
        <v>75</v>
      </c>
      <c r="J208">
        <v>75</v>
      </c>
      <c r="K208" s="8" t="str">
        <f>IF(Table4[[#This Row],[Total Amount]]=Table4[[#This Row],[Calculated Total]],"Correct","Check")</f>
        <v>Correct</v>
      </c>
      <c r="L208" s="8"/>
    </row>
    <row r="209" spans="1:12">
      <c r="A209" s="2">
        <v>108</v>
      </c>
      <c r="B209" s="1">
        <v>45035</v>
      </c>
      <c r="C209" t="s">
        <v>121</v>
      </c>
      <c r="D209" t="s">
        <v>13</v>
      </c>
      <c r="E209">
        <v>27</v>
      </c>
      <c r="F209" s="2" t="s">
        <v>11</v>
      </c>
      <c r="G209">
        <v>3</v>
      </c>
      <c r="H209">
        <v>25</v>
      </c>
      <c r="I209" s="8">
        <f>Table4[[#This Row],[Quantity]]*Table4[[#This Row],[Price per Unit]]</f>
        <v>75</v>
      </c>
      <c r="J209">
        <v>75</v>
      </c>
      <c r="K209" s="8" t="str">
        <f>IF(Table4[[#This Row],[Total Amount]]=Table4[[#This Row],[Calculated Total]],"Correct","Check")</f>
        <v>Correct</v>
      </c>
      <c r="L209" s="8"/>
    </row>
    <row r="210" spans="1:12" hidden="1">
      <c r="A210" s="2">
        <v>618</v>
      </c>
      <c r="B210" s="1">
        <v>44952</v>
      </c>
      <c r="C210" t="s">
        <v>631</v>
      </c>
      <c r="D210" t="s">
        <v>13</v>
      </c>
      <c r="E210">
        <v>27</v>
      </c>
      <c r="F210" s="2" t="s">
        <v>11</v>
      </c>
      <c r="G210">
        <v>1</v>
      </c>
      <c r="H210">
        <v>50</v>
      </c>
      <c r="I210" s="8">
        <f>Table4[[#This Row],[Quantity]]*Table4[[#This Row],[Price per Unit]]</f>
        <v>50</v>
      </c>
      <c r="J210">
        <v>50</v>
      </c>
      <c r="K210" s="8" t="str">
        <f>IF(Table4[[#This Row],[Total Amount]]=Table4[[#This Row],[Calculated Total]],"Correct","Check")</f>
        <v>Correct</v>
      </c>
      <c r="L210" s="8"/>
    </row>
    <row r="211" spans="1:12" hidden="1">
      <c r="A211" s="2">
        <v>545</v>
      </c>
      <c r="B211" s="1">
        <v>45078</v>
      </c>
      <c r="C211" t="s">
        <v>558</v>
      </c>
      <c r="D211" t="s">
        <v>10</v>
      </c>
      <c r="E211">
        <v>27</v>
      </c>
      <c r="F211" s="2" t="s">
        <v>14</v>
      </c>
      <c r="G211">
        <v>2</v>
      </c>
      <c r="H211">
        <v>25</v>
      </c>
      <c r="I211" s="8">
        <f>Table4[[#This Row],[Quantity]]*Table4[[#This Row],[Price per Unit]]</f>
        <v>50</v>
      </c>
      <c r="J211">
        <v>50</v>
      </c>
      <c r="K211" s="8" t="str">
        <f>IF(Table4[[#This Row],[Total Amount]]=Table4[[#This Row],[Calculated Total]],"Correct","Check")</f>
        <v>Correct</v>
      </c>
      <c r="L211" s="8"/>
    </row>
    <row r="212" spans="1:12" hidden="1">
      <c r="A212" s="2">
        <v>670</v>
      </c>
      <c r="B212" s="1">
        <v>45204</v>
      </c>
      <c r="C212" t="s">
        <v>683</v>
      </c>
      <c r="D212" t="s">
        <v>10</v>
      </c>
      <c r="E212">
        <v>27</v>
      </c>
      <c r="F212" s="2" t="s">
        <v>11</v>
      </c>
      <c r="G212">
        <v>1</v>
      </c>
      <c r="H212">
        <v>30</v>
      </c>
      <c r="I212" s="8">
        <f>Table4[[#This Row],[Quantity]]*Table4[[#This Row],[Price per Unit]]</f>
        <v>30</v>
      </c>
      <c r="J212">
        <v>30</v>
      </c>
      <c r="K212" s="8" t="str">
        <f>IF(Table4[[#This Row],[Total Amount]]=Table4[[#This Row],[Calculated Total]],"Correct","Check")</f>
        <v>Correct</v>
      </c>
      <c r="L212" s="8"/>
    </row>
    <row r="213" spans="1:12" hidden="1">
      <c r="A213" s="2">
        <v>734</v>
      </c>
      <c r="B213" s="1">
        <v>44936</v>
      </c>
      <c r="C213" t="s">
        <v>747</v>
      </c>
      <c r="D213" t="s">
        <v>13</v>
      </c>
      <c r="E213">
        <v>27</v>
      </c>
      <c r="F213" s="2" t="s">
        <v>14</v>
      </c>
      <c r="G213">
        <v>1</v>
      </c>
      <c r="H213">
        <v>30</v>
      </c>
      <c r="I213" s="8">
        <f>Table4[[#This Row],[Quantity]]*Table4[[#This Row],[Price per Unit]]</f>
        <v>30</v>
      </c>
      <c r="J213">
        <v>30</v>
      </c>
      <c r="K213" s="8" t="str">
        <f>IF(Table4[[#This Row],[Total Amount]]=Table4[[#This Row],[Calculated Total]],"Correct","Check")</f>
        <v>Correct</v>
      </c>
      <c r="L213" s="8"/>
    </row>
    <row r="214" spans="1:12" hidden="1">
      <c r="A214" s="2">
        <v>544</v>
      </c>
      <c r="B214" s="1">
        <v>45283</v>
      </c>
      <c r="C214" t="s">
        <v>557</v>
      </c>
      <c r="D214" t="s">
        <v>13</v>
      </c>
      <c r="E214">
        <v>27</v>
      </c>
      <c r="F214" s="2" t="s">
        <v>16</v>
      </c>
      <c r="G214">
        <v>1</v>
      </c>
      <c r="H214">
        <v>25</v>
      </c>
      <c r="I214" s="8">
        <f>Table4[[#This Row],[Quantity]]*Table4[[#This Row],[Price per Unit]]</f>
        <v>25</v>
      </c>
      <c r="J214">
        <v>25</v>
      </c>
      <c r="K214" s="8" t="str">
        <f>IF(Table4[[#This Row],[Total Amount]]=Table4[[#This Row],[Calculated Total]],"Correct","Check")</f>
        <v>Correct</v>
      </c>
      <c r="L214" s="8"/>
    </row>
    <row r="215" spans="1:12" hidden="1">
      <c r="A215" s="2">
        <v>423</v>
      </c>
      <c r="B215" s="1">
        <v>44993</v>
      </c>
      <c r="C215" t="s">
        <v>436</v>
      </c>
      <c r="D215" t="s">
        <v>13</v>
      </c>
      <c r="E215">
        <v>27</v>
      </c>
      <c r="F215" s="2" t="s">
        <v>14</v>
      </c>
      <c r="G215">
        <v>1</v>
      </c>
      <c r="H215">
        <v>25</v>
      </c>
      <c r="I215" s="8">
        <f>Table4[[#This Row],[Quantity]]*Table4[[#This Row],[Price per Unit]]</f>
        <v>25</v>
      </c>
      <c r="J215">
        <v>25</v>
      </c>
      <c r="K215" s="8" t="str">
        <f>IF(Table4[[#This Row],[Total Amount]]=Table4[[#This Row],[Calculated Total]],"Correct","Check")</f>
        <v>Correct</v>
      </c>
      <c r="L215" s="8"/>
    </row>
    <row r="216" spans="1:12">
      <c r="A216" s="2">
        <v>459</v>
      </c>
      <c r="B216" s="1">
        <v>45006</v>
      </c>
      <c r="C216" t="s">
        <v>472</v>
      </c>
      <c r="D216" t="s">
        <v>10</v>
      </c>
      <c r="E216">
        <v>28</v>
      </c>
      <c r="F216" s="2" t="s">
        <v>14</v>
      </c>
      <c r="G216">
        <v>4</v>
      </c>
      <c r="H216">
        <v>300</v>
      </c>
      <c r="I216" s="8">
        <f>Table4[[#This Row],[Quantity]]*Table4[[#This Row],[Price per Unit]]</f>
        <v>1200</v>
      </c>
      <c r="J216">
        <v>1200</v>
      </c>
      <c r="K216" s="8" t="str">
        <f>IF(Table4[[#This Row],[Total Amount]]=Table4[[#This Row],[Calculated Total]],"Correct","Check")</f>
        <v>Correct</v>
      </c>
      <c r="L216" s="8"/>
    </row>
    <row r="217" spans="1:12">
      <c r="A217" s="2">
        <v>482</v>
      </c>
      <c r="B217" s="1">
        <v>45043</v>
      </c>
      <c r="C217" t="s">
        <v>495</v>
      </c>
      <c r="D217" t="s">
        <v>13</v>
      </c>
      <c r="E217">
        <v>28</v>
      </c>
      <c r="F217" s="2" t="s">
        <v>14</v>
      </c>
      <c r="G217">
        <v>4</v>
      </c>
      <c r="H217">
        <v>300</v>
      </c>
      <c r="I217" s="8">
        <f>Table4[[#This Row],[Quantity]]*Table4[[#This Row],[Price per Unit]]</f>
        <v>1200</v>
      </c>
      <c r="J217">
        <v>1200</v>
      </c>
      <c r="K217" s="8" t="str">
        <f>IF(Table4[[#This Row],[Total Amount]]=Table4[[#This Row],[Calculated Total]],"Correct","Check")</f>
        <v>Correct</v>
      </c>
      <c r="L217" s="8"/>
    </row>
    <row r="218" spans="1:12">
      <c r="A218" s="2">
        <v>320</v>
      </c>
      <c r="B218" s="1">
        <v>44958</v>
      </c>
      <c r="C218" t="s">
        <v>333</v>
      </c>
      <c r="D218" t="s">
        <v>13</v>
      </c>
      <c r="E218">
        <v>28</v>
      </c>
      <c r="F218" s="2" t="s">
        <v>16</v>
      </c>
      <c r="G218">
        <v>4</v>
      </c>
      <c r="H218">
        <v>300</v>
      </c>
      <c r="I218" s="8">
        <f>Table4[[#This Row],[Quantity]]*Table4[[#This Row],[Price per Unit]]</f>
        <v>1200</v>
      </c>
      <c r="J218">
        <v>1200</v>
      </c>
      <c r="K218" s="8" t="str">
        <f>IF(Table4[[#This Row],[Total Amount]]=Table4[[#This Row],[Calculated Total]],"Correct","Check")</f>
        <v>Correct</v>
      </c>
      <c r="L218" s="8"/>
    </row>
    <row r="219" spans="1:12">
      <c r="A219" s="2">
        <v>862</v>
      </c>
      <c r="B219" s="1">
        <v>45077</v>
      </c>
      <c r="C219" t="s">
        <v>875</v>
      </c>
      <c r="D219" t="s">
        <v>10</v>
      </c>
      <c r="E219">
        <v>28</v>
      </c>
      <c r="F219" s="2" t="s">
        <v>16</v>
      </c>
      <c r="G219">
        <v>4</v>
      </c>
      <c r="H219">
        <v>300</v>
      </c>
      <c r="I219" s="8">
        <f>Table4[[#This Row],[Quantity]]*Table4[[#This Row],[Price per Unit]]</f>
        <v>1200</v>
      </c>
      <c r="J219">
        <v>1200</v>
      </c>
      <c r="K219" s="8" t="str">
        <f>IF(Table4[[#This Row],[Total Amount]]=Table4[[#This Row],[Calculated Total]],"Correct","Check")</f>
        <v>Correct</v>
      </c>
      <c r="L219" s="8"/>
    </row>
    <row r="220" spans="1:12" hidden="1">
      <c r="A220" s="2">
        <v>684</v>
      </c>
      <c r="B220" s="1">
        <v>45107</v>
      </c>
      <c r="C220" t="s">
        <v>697</v>
      </c>
      <c r="D220" t="s">
        <v>13</v>
      </c>
      <c r="E220">
        <v>28</v>
      </c>
      <c r="F220" s="2" t="s">
        <v>14</v>
      </c>
      <c r="G220">
        <v>2</v>
      </c>
      <c r="H220">
        <v>500</v>
      </c>
      <c r="I220" s="8">
        <f>Table4[[#This Row],[Quantity]]*Table4[[#This Row],[Price per Unit]]</f>
        <v>1000</v>
      </c>
      <c r="J220">
        <v>1000</v>
      </c>
      <c r="K220" s="8" t="str">
        <f>IF(Table4[[#This Row],[Total Amount]]=Table4[[#This Row],[Calculated Total]],"Correct","Check")</f>
        <v>Correct</v>
      </c>
      <c r="L220" s="8"/>
    </row>
    <row r="221" spans="1:12" hidden="1">
      <c r="A221" s="2">
        <v>26</v>
      </c>
      <c r="B221" s="1">
        <v>45206</v>
      </c>
      <c r="C221" t="s">
        <v>39</v>
      </c>
      <c r="D221" t="s">
        <v>13</v>
      </c>
      <c r="E221">
        <v>28</v>
      </c>
      <c r="F221" s="2" t="s">
        <v>16</v>
      </c>
      <c r="G221">
        <v>2</v>
      </c>
      <c r="H221">
        <v>500</v>
      </c>
      <c r="I221" s="8">
        <f>Table4[[#This Row],[Quantity]]*Table4[[#This Row],[Price per Unit]]</f>
        <v>1000</v>
      </c>
      <c r="J221">
        <v>1000</v>
      </c>
      <c r="K221" s="8" t="str">
        <f>IF(Table4[[#This Row],[Total Amount]]=Table4[[#This Row],[Calculated Total]],"Correct","Check")</f>
        <v>Correct</v>
      </c>
      <c r="L221" s="8"/>
    </row>
    <row r="222" spans="1:12" hidden="1">
      <c r="A222" s="2">
        <v>904</v>
      </c>
      <c r="B222" s="1">
        <v>45111</v>
      </c>
      <c r="C222" t="s">
        <v>917</v>
      </c>
      <c r="D222" t="s">
        <v>10</v>
      </c>
      <c r="E222">
        <v>28</v>
      </c>
      <c r="F222" s="2" t="s">
        <v>14</v>
      </c>
      <c r="G222">
        <v>1</v>
      </c>
      <c r="H222">
        <v>500</v>
      </c>
      <c r="I222" s="8">
        <f>Table4[[#This Row],[Quantity]]*Table4[[#This Row],[Price per Unit]]</f>
        <v>500</v>
      </c>
      <c r="J222">
        <v>500</v>
      </c>
      <c r="K222" s="8" t="str">
        <f>IF(Table4[[#This Row],[Total Amount]]=Table4[[#This Row],[Calculated Total]],"Correct","Check")</f>
        <v>Correct</v>
      </c>
      <c r="L222" s="8"/>
    </row>
    <row r="223" spans="1:12">
      <c r="A223" s="2">
        <v>121</v>
      </c>
      <c r="B223" s="1">
        <v>45214</v>
      </c>
      <c r="C223" t="s">
        <v>134</v>
      </c>
      <c r="D223" t="s">
        <v>13</v>
      </c>
      <c r="E223">
        <v>28</v>
      </c>
      <c r="F223" s="2" t="s">
        <v>16</v>
      </c>
      <c r="G223">
        <v>4</v>
      </c>
      <c r="H223">
        <v>50</v>
      </c>
      <c r="I223" s="8">
        <f>Table4[[#This Row],[Quantity]]*Table4[[#This Row],[Price per Unit]]</f>
        <v>200</v>
      </c>
      <c r="J223">
        <v>200</v>
      </c>
      <c r="K223" s="8" t="str">
        <f>IF(Table4[[#This Row],[Total Amount]]=Table4[[#This Row],[Calculated Total]],"Correct","Check")</f>
        <v>Correct</v>
      </c>
      <c r="L223" s="8"/>
    </row>
    <row r="224" spans="1:12">
      <c r="A224" s="2">
        <v>686</v>
      </c>
      <c r="B224" s="1">
        <v>45126</v>
      </c>
      <c r="C224" t="s">
        <v>699</v>
      </c>
      <c r="D224" t="s">
        <v>13</v>
      </c>
      <c r="E224">
        <v>28</v>
      </c>
      <c r="F224" s="2" t="s">
        <v>16</v>
      </c>
      <c r="G224">
        <v>4</v>
      </c>
      <c r="H224">
        <v>50</v>
      </c>
      <c r="I224" s="8">
        <f>Table4[[#This Row],[Quantity]]*Table4[[#This Row],[Price per Unit]]</f>
        <v>200</v>
      </c>
      <c r="J224">
        <v>200</v>
      </c>
      <c r="K224" s="8" t="str">
        <f>IF(Table4[[#This Row],[Total Amount]]=Table4[[#This Row],[Calculated Total]],"Correct","Check")</f>
        <v>Correct</v>
      </c>
      <c r="L224" s="8"/>
    </row>
    <row r="225" spans="1:12">
      <c r="A225" s="2">
        <v>288</v>
      </c>
      <c r="B225" s="1">
        <v>44952</v>
      </c>
      <c r="C225" t="s">
        <v>301</v>
      </c>
      <c r="D225" t="s">
        <v>10</v>
      </c>
      <c r="E225">
        <v>28</v>
      </c>
      <c r="F225" s="2" t="s">
        <v>14</v>
      </c>
      <c r="G225">
        <v>4</v>
      </c>
      <c r="H225">
        <v>30</v>
      </c>
      <c r="I225" s="8">
        <f>Table4[[#This Row],[Quantity]]*Table4[[#This Row],[Price per Unit]]</f>
        <v>120</v>
      </c>
      <c r="J225">
        <v>120</v>
      </c>
      <c r="K225" s="8" t="str">
        <f>IF(Table4[[#This Row],[Total Amount]]=Table4[[#This Row],[Calculated Total]],"Correct","Check")</f>
        <v>Correct</v>
      </c>
      <c r="L225" s="8"/>
    </row>
    <row r="226" spans="1:12" hidden="1">
      <c r="A226" s="2">
        <v>87</v>
      </c>
      <c r="B226" s="1">
        <v>45252</v>
      </c>
      <c r="C226" t="s">
        <v>100</v>
      </c>
      <c r="D226" t="s">
        <v>13</v>
      </c>
      <c r="E226">
        <v>28</v>
      </c>
      <c r="F226" s="2" t="s">
        <v>11</v>
      </c>
      <c r="G226">
        <v>2</v>
      </c>
      <c r="H226">
        <v>50</v>
      </c>
      <c r="I226" s="8">
        <f>Table4[[#This Row],[Quantity]]*Table4[[#This Row],[Price per Unit]]</f>
        <v>100</v>
      </c>
      <c r="J226">
        <v>100</v>
      </c>
      <c r="K226" s="8" t="str">
        <f>IF(Table4[[#This Row],[Total Amount]]=Table4[[#This Row],[Calculated Total]],"Correct","Check")</f>
        <v>Correct</v>
      </c>
      <c r="L226" s="8"/>
    </row>
    <row r="227" spans="1:12" hidden="1">
      <c r="A227" s="2">
        <v>244</v>
      </c>
      <c r="B227" s="1">
        <v>45269</v>
      </c>
      <c r="C227" t="s">
        <v>257</v>
      </c>
      <c r="D227" t="s">
        <v>10</v>
      </c>
      <c r="E227">
        <v>28</v>
      </c>
      <c r="F227" s="2" t="s">
        <v>11</v>
      </c>
      <c r="G227">
        <v>2</v>
      </c>
      <c r="H227">
        <v>50</v>
      </c>
      <c r="I227" s="8">
        <f>Table4[[#This Row],[Quantity]]*Table4[[#This Row],[Price per Unit]]</f>
        <v>100</v>
      </c>
      <c r="J227">
        <v>100</v>
      </c>
      <c r="K227" s="8" t="str">
        <f>IF(Table4[[#This Row],[Total Amount]]=Table4[[#This Row],[Calculated Total]],"Correct","Check")</f>
        <v>Correct</v>
      </c>
      <c r="L227" s="8"/>
    </row>
    <row r="228" spans="1:12" hidden="1">
      <c r="A228" s="2">
        <v>599</v>
      </c>
      <c r="B228" s="1">
        <v>45249</v>
      </c>
      <c r="C228" t="s">
        <v>612</v>
      </c>
      <c r="D228" t="s">
        <v>13</v>
      </c>
      <c r="E228">
        <v>28</v>
      </c>
      <c r="F228" s="2" t="s">
        <v>11</v>
      </c>
      <c r="G228">
        <v>2</v>
      </c>
      <c r="H228">
        <v>50</v>
      </c>
      <c r="I228" s="8">
        <f>Table4[[#This Row],[Quantity]]*Table4[[#This Row],[Price per Unit]]</f>
        <v>100</v>
      </c>
      <c r="J228">
        <v>100</v>
      </c>
      <c r="K228" s="8" t="str">
        <f>IF(Table4[[#This Row],[Total Amount]]=Table4[[#This Row],[Calculated Total]],"Correct","Check")</f>
        <v>Correct</v>
      </c>
      <c r="L228" s="8"/>
    </row>
    <row r="229" spans="1:12">
      <c r="A229" s="2">
        <v>126</v>
      </c>
      <c r="B229" s="1">
        <v>45225</v>
      </c>
      <c r="C229" t="s">
        <v>139</v>
      </c>
      <c r="D229" t="s">
        <v>13</v>
      </c>
      <c r="E229">
        <v>28</v>
      </c>
      <c r="F229" s="2" t="s">
        <v>14</v>
      </c>
      <c r="G229">
        <v>3</v>
      </c>
      <c r="H229">
        <v>30</v>
      </c>
      <c r="I229" s="8">
        <f>Table4[[#This Row],[Quantity]]*Table4[[#This Row],[Price per Unit]]</f>
        <v>90</v>
      </c>
      <c r="J229">
        <v>90</v>
      </c>
      <c r="K229" s="8" t="str">
        <f>IF(Table4[[#This Row],[Total Amount]]=Table4[[#This Row],[Calculated Total]],"Correct","Check")</f>
        <v>Correct</v>
      </c>
      <c r="L229" s="8"/>
    </row>
    <row r="230" spans="1:12">
      <c r="A230" s="2">
        <v>331</v>
      </c>
      <c r="B230" s="1">
        <v>44968</v>
      </c>
      <c r="C230" t="s">
        <v>344</v>
      </c>
      <c r="D230" t="s">
        <v>10</v>
      </c>
      <c r="E230">
        <v>28</v>
      </c>
      <c r="F230" s="2" t="s">
        <v>16</v>
      </c>
      <c r="G230">
        <v>3</v>
      </c>
      <c r="H230">
        <v>30</v>
      </c>
      <c r="I230" s="8">
        <f>Table4[[#This Row],[Quantity]]*Table4[[#This Row],[Price per Unit]]</f>
        <v>90</v>
      </c>
      <c r="J230">
        <v>90</v>
      </c>
      <c r="K230" s="8" t="str">
        <f>IF(Table4[[#This Row],[Total Amount]]=Table4[[#This Row],[Calculated Total]],"Correct","Check")</f>
        <v>Correct</v>
      </c>
      <c r="L230" s="8"/>
    </row>
    <row r="231" spans="1:12">
      <c r="A231" s="2">
        <v>643</v>
      </c>
      <c r="B231" s="1">
        <v>45193</v>
      </c>
      <c r="C231" t="s">
        <v>656</v>
      </c>
      <c r="D231" t="s">
        <v>13</v>
      </c>
      <c r="E231">
        <v>28</v>
      </c>
      <c r="F231" s="2" t="s">
        <v>16</v>
      </c>
      <c r="G231">
        <v>3</v>
      </c>
      <c r="H231">
        <v>30</v>
      </c>
      <c r="I231" s="8">
        <f>Table4[[#This Row],[Quantity]]*Table4[[#This Row],[Price per Unit]]</f>
        <v>90</v>
      </c>
      <c r="J231">
        <v>90</v>
      </c>
      <c r="K231" s="8" t="str">
        <f>IF(Table4[[#This Row],[Total Amount]]=Table4[[#This Row],[Calculated Total]],"Correct","Check")</f>
        <v>Correct</v>
      </c>
      <c r="L231" s="8"/>
    </row>
    <row r="232" spans="1:12">
      <c r="A232" s="2">
        <v>422</v>
      </c>
      <c r="B232" s="1">
        <v>45097</v>
      </c>
      <c r="C232" t="s">
        <v>435</v>
      </c>
      <c r="D232" t="s">
        <v>13</v>
      </c>
      <c r="E232">
        <v>28</v>
      </c>
      <c r="F232" s="2" t="s">
        <v>14</v>
      </c>
      <c r="G232">
        <v>3</v>
      </c>
      <c r="H232">
        <v>30</v>
      </c>
      <c r="I232" s="8">
        <f>Table4[[#This Row],[Quantity]]*Table4[[#This Row],[Price per Unit]]</f>
        <v>90</v>
      </c>
      <c r="J232">
        <v>90</v>
      </c>
      <c r="K232" s="8" t="str">
        <f>IF(Table4[[#This Row],[Total Amount]]=Table4[[#This Row],[Calculated Total]],"Correct","Check")</f>
        <v>Correct</v>
      </c>
      <c r="L232" s="8"/>
    </row>
    <row r="233" spans="1:12">
      <c r="A233" s="2">
        <v>920</v>
      </c>
      <c r="B233" s="1">
        <v>44979</v>
      </c>
      <c r="C233" t="s">
        <v>933</v>
      </c>
      <c r="D233" t="s">
        <v>13</v>
      </c>
      <c r="E233">
        <v>28</v>
      </c>
      <c r="F233" s="2" t="s">
        <v>11</v>
      </c>
      <c r="G233">
        <v>3</v>
      </c>
      <c r="H233">
        <v>25</v>
      </c>
      <c r="I233" s="8">
        <f>Table4[[#This Row],[Quantity]]*Table4[[#This Row],[Price per Unit]]</f>
        <v>75</v>
      </c>
      <c r="J233">
        <v>75</v>
      </c>
      <c r="K233" s="8" t="str">
        <f>IF(Table4[[#This Row],[Total Amount]]=Table4[[#This Row],[Calculated Total]],"Correct","Check")</f>
        <v>Correct</v>
      </c>
      <c r="L233" s="8"/>
    </row>
    <row r="234" spans="1:12" hidden="1">
      <c r="A234" s="2">
        <v>260</v>
      </c>
      <c r="B234" s="1">
        <v>45108</v>
      </c>
      <c r="C234" t="s">
        <v>273</v>
      </c>
      <c r="D234" t="s">
        <v>10</v>
      </c>
      <c r="E234">
        <v>28</v>
      </c>
      <c r="F234" s="2" t="s">
        <v>11</v>
      </c>
      <c r="G234">
        <v>2</v>
      </c>
      <c r="H234">
        <v>30</v>
      </c>
      <c r="I234" s="8">
        <f>Table4[[#This Row],[Quantity]]*Table4[[#This Row],[Price per Unit]]</f>
        <v>60</v>
      </c>
      <c r="J234">
        <v>60</v>
      </c>
      <c r="K234" s="8" t="str">
        <f>IF(Table4[[#This Row],[Total Amount]]=Table4[[#This Row],[Calculated Total]],"Correct","Check")</f>
        <v>Correct</v>
      </c>
      <c r="L234" s="8"/>
    </row>
    <row r="235" spans="1:12" hidden="1">
      <c r="A235" s="2">
        <v>268</v>
      </c>
      <c r="B235" s="1">
        <v>44977</v>
      </c>
      <c r="C235" t="s">
        <v>281</v>
      </c>
      <c r="D235" t="s">
        <v>13</v>
      </c>
      <c r="E235">
        <v>28</v>
      </c>
      <c r="F235" s="2" t="s">
        <v>16</v>
      </c>
      <c r="G235">
        <v>1</v>
      </c>
      <c r="H235">
        <v>30</v>
      </c>
      <c r="I235" s="8">
        <f>Table4[[#This Row],[Quantity]]*Table4[[#This Row],[Price per Unit]]</f>
        <v>30</v>
      </c>
      <c r="J235">
        <v>30</v>
      </c>
      <c r="K235" s="8" t="str">
        <f>IF(Table4[[#This Row],[Total Amount]]=Table4[[#This Row],[Calculated Total]],"Correct","Check")</f>
        <v>Correct</v>
      </c>
      <c r="L235" s="8"/>
    </row>
    <row r="236" spans="1:12" hidden="1">
      <c r="A236" s="2">
        <v>310</v>
      </c>
      <c r="B236" s="1">
        <v>45211</v>
      </c>
      <c r="C236" t="s">
        <v>323</v>
      </c>
      <c r="D236" t="s">
        <v>13</v>
      </c>
      <c r="E236">
        <v>28</v>
      </c>
      <c r="F236" s="2" t="s">
        <v>11</v>
      </c>
      <c r="G236">
        <v>1</v>
      </c>
      <c r="H236">
        <v>25</v>
      </c>
      <c r="I236" s="8">
        <f>Table4[[#This Row],[Quantity]]*Table4[[#This Row],[Price per Unit]]</f>
        <v>25</v>
      </c>
      <c r="J236">
        <v>25</v>
      </c>
      <c r="K236" s="8" t="str">
        <f>IF(Table4[[#This Row],[Total Amount]]=Table4[[#This Row],[Calculated Total]],"Correct","Check")</f>
        <v>Correct</v>
      </c>
      <c r="L236" s="8"/>
    </row>
    <row r="237" spans="1:12">
      <c r="A237" s="2">
        <v>281</v>
      </c>
      <c r="B237" s="1">
        <v>45069</v>
      </c>
      <c r="C237" t="s">
        <v>294</v>
      </c>
      <c r="D237" t="s">
        <v>13</v>
      </c>
      <c r="E237">
        <v>29</v>
      </c>
      <c r="F237" s="2" t="s">
        <v>11</v>
      </c>
      <c r="G237">
        <v>4</v>
      </c>
      <c r="H237">
        <v>500</v>
      </c>
      <c r="I237" s="8">
        <f>Table4[[#This Row],[Quantity]]*Table4[[#This Row],[Price per Unit]]</f>
        <v>2000</v>
      </c>
      <c r="J237">
        <v>2000</v>
      </c>
      <c r="K237" s="8" t="str">
        <f>IF(Table4[[#This Row],[Total Amount]]=Table4[[#This Row],[Calculated Total]],"Correct","Check")</f>
        <v>Correct</v>
      </c>
      <c r="L237" s="8"/>
    </row>
    <row r="238" spans="1:12">
      <c r="A238" s="2">
        <v>729</v>
      </c>
      <c r="B238" s="1">
        <v>45069</v>
      </c>
      <c r="C238" t="s">
        <v>742</v>
      </c>
      <c r="D238" t="s">
        <v>10</v>
      </c>
      <c r="E238">
        <v>29</v>
      </c>
      <c r="F238" s="2" t="s">
        <v>14</v>
      </c>
      <c r="G238">
        <v>4</v>
      </c>
      <c r="H238">
        <v>300</v>
      </c>
      <c r="I238" s="8">
        <f>Table4[[#This Row],[Quantity]]*Table4[[#This Row],[Price per Unit]]</f>
        <v>1200</v>
      </c>
      <c r="J238">
        <v>1200</v>
      </c>
      <c r="K238" s="8" t="str">
        <f>IF(Table4[[#This Row],[Total Amount]]=Table4[[#This Row],[Calculated Total]],"Correct","Check")</f>
        <v>Correct</v>
      </c>
      <c r="L238" s="8"/>
    </row>
    <row r="239" spans="1:12">
      <c r="A239" s="2">
        <v>323</v>
      </c>
      <c r="B239" s="1">
        <v>44952</v>
      </c>
      <c r="C239" t="s">
        <v>336</v>
      </c>
      <c r="D239" t="s">
        <v>13</v>
      </c>
      <c r="E239">
        <v>29</v>
      </c>
      <c r="F239" s="2" t="s">
        <v>11</v>
      </c>
      <c r="G239">
        <v>3</v>
      </c>
      <c r="H239">
        <v>300</v>
      </c>
      <c r="I239" s="8">
        <f>Table4[[#This Row],[Quantity]]*Table4[[#This Row],[Price per Unit]]</f>
        <v>900</v>
      </c>
      <c r="J239">
        <v>900</v>
      </c>
      <c r="K239" s="8" t="str">
        <f>IF(Table4[[#This Row],[Total Amount]]=Table4[[#This Row],[Calculated Total]],"Correct","Check")</f>
        <v>Correct</v>
      </c>
      <c r="L239" s="8"/>
    </row>
    <row r="240" spans="1:12" hidden="1">
      <c r="A240" s="2">
        <v>443</v>
      </c>
      <c r="B240" s="1">
        <v>45147</v>
      </c>
      <c r="C240" t="s">
        <v>456</v>
      </c>
      <c r="D240" t="s">
        <v>10</v>
      </c>
      <c r="E240">
        <v>29</v>
      </c>
      <c r="F240" s="2" t="s">
        <v>14</v>
      </c>
      <c r="G240">
        <v>2</v>
      </c>
      <c r="H240">
        <v>300</v>
      </c>
      <c r="I240" s="8">
        <f>Table4[[#This Row],[Quantity]]*Table4[[#This Row],[Price per Unit]]</f>
        <v>600</v>
      </c>
      <c r="J240">
        <v>600</v>
      </c>
      <c r="K240" s="8" t="str">
        <f>IF(Table4[[#This Row],[Total Amount]]=Table4[[#This Row],[Calculated Total]],"Correct","Check")</f>
        <v>Correct</v>
      </c>
      <c r="L240" s="8"/>
    </row>
    <row r="241" spans="1:12" hidden="1">
      <c r="A241" s="2">
        <v>667</v>
      </c>
      <c r="B241" s="1">
        <v>45139</v>
      </c>
      <c r="C241" t="s">
        <v>680</v>
      </c>
      <c r="D241" t="s">
        <v>13</v>
      </c>
      <c r="E241">
        <v>29</v>
      </c>
      <c r="F241" s="2" t="s">
        <v>16</v>
      </c>
      <c r="G241">
        <v>1</v>
      </c>
      <c r="H241">
        <v>500</v>
      </c>
      <c r="I241" s="8">
        <f>Table4[[#This Row],[Quantity]]*Table4[[#This Row],[Price per Unit]]</f>
        <v>500</v>
      </c>
      <c r="J241">
        <v>500</v>
      </c>
      <c r="K241" s="8" t="str">
        <f>IF(Table4[[#This Row],[Total Amount]]=Table4[[#This Row],[Calculated Total]],"Correct","Check")</f>
        <v>Correct</v>
      </c>
      <c r="L241" s="8"/>
    </row>
    <row r="242" spans="1:12" hidden="1">
      <c r="A242" s="2">
        <v>983</v>
      </c>
      <c r="B242" s="1">
        <v>45231</v>
      </c>
      <c r="C242" t="s">
        <v>996</v>
      </c>
      <c r="D242" t="s">
        <v>13</v>
      </c>
      <c r="E242">
        <v>29</v>
      </c>
      <c r="F242" s="2" t="s">
        <v>14</v>
      </c>
      <c r="G242">
        <v>1</v>
      </c>
      <c r="H242">
        <v>300</v>
      </c>
      <c r="I242" s="8">
        <f>Table4[[#This Row],[Quantity]]*Table4[[#This Row],[Price per Unit]]</f>
        <v>300</v>
      </c>
      <c r="J242">
        <v>300</v>
      </c>
      <c r="K242" s="8" t="str">
        <f>IF(Table4[[#This Row],[Total Amount]]=Table4[[#This Row],[Calculated Total]],"Correct","Check")</f>
        <v>Correct</v>
      </c>
      <c r="L242" s="8"/>
    </row>
    <row r="243" spans="1:12">
      <c r="A243" s="2">
        <v>433</v>
      </c>
      <c r="B243" s="1">
        <v>44984</v>
      </c>
      <c r="C243" t="s">
        <v>446</v>
      </c>
      <c r="D243" t="s">
        <v>10</v>
      </c>
      <c r="E243">
        <v>29</v>
      </c>
      <c r="F243" s="2" t="s">
        <v>11</v>
      </c>
      <c r="G243">
        <v>4</v>
      </c>
      <c r="H243">
        <v>50</v>
      </c>
      <c r="I243" s="8">
        <f>Table4[[#This Row],[Quantity]]*Table4[[#This Row],[Price per Unit]]</f>
        <v>200</v>
      </c>
      <c r="J243">
        <v>200</v>
      </c>
      <c r="K243" s="8" t="str">
        <f>IF(Table4[[#This Row],[Total Amount]]=Table4[[#This Row],[Calculated Total]],"Correct","Check")</f>
        <v>Correct</v>
      </c>
      <c r="L243" s="8"/>
    </row>
    <row r="244" spans="1:12">
      <c r="A244" s="2">
        <v>604</v>
      </c>
      <c r="B244" s="1">
        <v>45180</v>
      </c>
      <c r="C244" t="s">
        <v>617</v>
      </c>
      <c r="D244" t="s">
        <v>13</v>
      </c>
      <c r="E244">
        <v>29</v>
      </c>
      <c r="F244" s="2" t="s">
        <v>16</v>
      </c>
      <c r="G244">
        <v>4</v>
      </c>
      <c r="H244">
        <v>50</v>
      </c>
      <c r="I244" s="8">
        <f>Table4[[#This Row],[Quantity]]*Table4[[#This Row],[Price per Unit]]</f>
        <v>200</v>
      </c>
      <c r="J244">
        <v>200</v>
      </c>
      <c r="K244" s="8" t="str">
        <f>IF(Table4[[#This Row],[Total Amount]]=Table4[[#This Row],[Calculated Total]],"Correct","Check")</f>
        <v>Correct</v>
      </c>
      <c r="L244" s="8"/>
    </row>
    <row r="245" spans="1:12" hidden="1">
      <c r="A245" s="2">
        <v>410</v>
      </c>
      <c r="B245" s="1">
        <v>45251</v>
      </c>
      <c r="C245" t="s">
        <v>423</v>
      </c>
      <c r="D245" t="s">
        <v>13</v>
      </c>
      <c r="E245">
        <v>29</v>
      </c>
      <c r="F245" s="2" t="s">
        <v>14</v>
      </c>
      <c r="G245">
        <v>2</v>
      </c>
      <c r="H245">
        <v>50</v>
      </c>
      <c r="I245" s="8">
        <f>Table4[[#This Row],[Quantity]]*Table4[[#This Row],[Price per Unit]]</f>
        <v>100</v>
      </c>
      <c r="J245">
        <v>100</v>
      </c>
      <c r="K245" s="8" t="str">
        <f>IF(Table4[[#This Row],[Total Amount]]=Table4[[#This Row],[Calculated Total]],"Correct","Check")</f>
        <v>Correct</v>
      </c>
      <c r="L245" s="8"/>
    </row>
    <row r="246" spans="1:12">
      <c r="A246" s="2">
        <v>736</v>
      </c>
      <c r="B246" s="1">
        <v>44953</v>
      </c>
      <c r="C246" t="s">
        <v>749</v>
      </c>
      <c r="D246" t="s">
        <v>10</v>
      </c>
      <c r="E246">
        <v>29</v>
      </c>
      <c r="F246" s="2" t="s">
        <v>14</v>
      </c>
      <c r="G246">
        <v>4</v>
      </c>
      <c r="H246">
        <v>25</v>
      </c>
      <c r="I246" s="8">
        <f>Table4[[#This Row],[Quantity]]*Table4[[#This Row],[Price per Unit]]</f>
        <v>100</v>
      </c>
      <c r="J246">
        <v>100</v>
      </c>
      <c r="K246" s="8" t="str">
        <f>IF(Table4[[#This Row],[Total Amount]]=Table4[[#This Row],[Calculated Total]],"Correct","Check")</f>
        <v>Correct</v>
      </c>
      <c r="L246" s="8"/>
    </row>
    <row r="247" spans="1:12" hidden="1">
      <c r="A247" s="2">
        <v>752</v>
      </c>
      <c r="B247" s="1">
        <v>45269</v>
      </c>
      <c r="C247" t="s">
        <v>765</v>
      </c>
      <c r="D247" t="s">
        <v>10</v>
      </c>
      <c r="E247">
        <v>29</v>
      </c>
      <c r="F247" s="2" t="s">
        <v>14</v>
      </c>
      <c r="G247">
        <v>2</v>
      </c>
      <c r="H247">
        <v>50</v>
      </c>
      <c r="I247" s="8">
        <f>Table4[[#This Row],[Quantity]]*Table4[[#This Row],[Price per Unit]]</f>
        <v>100</v>
      </c>
      <c r="J247">
        <v>100</v>
      </c>
      <c r="K247" s="8" t="str">
        <f>IF(Table4[[#This Row],[Total Amount]]=Table4[[#This Row],[Calculated Total]],"Correct","Check")</f>
        <v>Correct</v>
      </c>
      <c r="L247" s="8"/>
    </row>
    <row r="248" spans="1:12">
      <c r="A248" s="2">
        <v>73</v>
      </c>
      <c r="B248" s="1">
        <v>45159</v>
      </c>
      <c r="C248" t="s">
        <v>86</v>
      </c>
      <c r="D248" t="s">
        <v>10</v>
      </c>
      <c r="E248">
        <v>29</v>
      </c>
      <c r="F248" s="2" t="s">
        <v>16</v>
      </c>
      <c r="G248">
        <v>3</v>
      </c>
      <c r="H248">
        <v>30</v>
      </c>
      <c r="I248" s="8">
        <f>Table4[[#This Row],[Quantity]]*Table4[[#This Row],[Price per Unit]]</f>
        <v>90</v>
      </c>
      <c r="J248">
        <v>90</v>
      </c>
      <c r="K248" s="8" t="str">
        <f>IF(Table4[[#This Row],[Total Amount]]=Table4[[#This Row],[Calculated Total]],"Correct","Check")</f>
        <v>Correct</v>
      </c>
      <c r="L248" s="8"/>
    </row>
    <row r="249" spans="1:12">
      <c r="A249" s="2">
        <v>656</v>
      </c>
      <c r="B249" s="1">
        <v>45203</v>
      </c>
      <c r="C249" t="s">
        <v>669</v>
      </c>
      <c r="D249" t="s">
        <v>10</v>
      </c>
      <c r="E249">
        <v>29</v>
      </c>
      <c r="F249" s="2" t="s">
        <v>11</v>
      </c>
      <c r="G249">
        <v>3</v>
      </c>
      <c r="H249">
        <v>30</v>
      </c>
      <c r="I249" s="8">
        <f>Table4[[#This Row],[Quantity]]*Table4[[#This Row],[Price per Unit]]</f>
        <v>90</v>
      </c>
      <c r="J249">
        <v>90</v>
      </c>
      <c r="K249" s="8" t="str">
        <f>IF(Table4[[#This Row],[Total Amount]]=Table4[[#This Row],[Calculated Total]],"Correct","Check")</f>
        <v>Correct</v>
      </c>
      <c r="L249" s="8"/>
    </row>
    <row r="250" spans="1:12">
      <c r="A250" s="2">
        <v>913</v>
      </c>
      <c r="B250" s="1">
        <v>44954</v>
      </c>
      <c r="C250" t="s">
        <v>926</v>
      </c>
      <c r="D250" t="s">
        <v>10</v>
      </c>
      <c r="E250">
        <v>29</v>
      </c>
      <c r="F250" s="2" t="s">
        <v>16</v>
      </c>
      <c r="G250">
        <v>3</v>
      </c>
      <c r="H250">
        <v>30</v>
      </c>
      <c r="I250" s="8">
        <f>Table4[[#This Row],[Quantity]]*Table4[[#This Row],[Price per Unit]]</f>
        <v>90</v>
      </c>
      <c r="J250">
        <v>90</v>
      </c>
      <c r="K250" s="8" t="str">
        <f>IF(Table4[[#This Row],[Total Amount]]=Table4[[#This Row],[Calculated Total]],"Correct","Check")</f>
        <v>Correct</v>
      </c>
      <c r="L250" s="8"/>
    </row>
    <row r="251" spans="1:12" hidden="1">
      <c r="A251" s="2">
        <v>151</v>
      </c>
      <c r="B251" s="1">
        <v>45275</v>
      </c>
      <c r="C251" t="s">
        <v>164</v>
      </c>
      <c r="D251" t="s">
        <v>10</v>
      </c>
      <c r="E251">
        <v>29</v>
      </c>
      <c r="F251" s="2" t="s">
        <v>14</v>
      </c>
      <c r="G251">
        <v>1</v>
      </c>
      <c r="H251">
        <v>50</v>
      </c>
      <c r="I251" s="8">
        <f>Table4[[#This Row],[Quantity]]*Table4[[#This Row],[Price per Unit]]</f>
        <v>50</v>
      </c>
      <c r="J251">
        <v>50</v>
      </c>
      <c r="K251" s="8" t="str">
        <f>IF(Table4[[#This Row],[Total Amount]]=Table4[[#This Row],[Calculated Total]],"Correct","Check")</f>
        <v>Correct</v>
      </c>
      <c r="L251" s="8"/>
    </row>
    <row r="252" spans="1:12" hidden="1">
      <c r="A252" s="2">
        <v>854</v>
      </c>
      <c r="B252" s="1">
        <v>45280</v>
      </c>
      <c r="C252" t="s">
        <v>867</v>
      </c>
      <c r="D252" t="s">
        <v>10</v>
      </c>
      <c r="E252">
        <v>29</v>
      </c>
      <c r="F252" s="2" t="s">
        <v>14</v>
      </c>
      <c r="G252">
        <v>1</v>
      </c>
      <c r="H252">
        <v>50</v>
      </c>
      <c r="I252" s="8">
        <f>Table4[[#This Row],[Quantity]]*Table4[[#This Row],[Price per Unit]]</f>
        <v>50</v>
      </c>
      <c r="J252">
        <v>50</v>
      </c>
      <c r="K252" s="8" t="str">
        <f>IF(Table4[[#This Row],[Total Amount]]=Table4[[#This Row],[Calculated Total]],"Correct","Check")</f>
        <v>Correct</v>
      </c>
      <c r="L252" s="8"/>
    </row>
    <row r="253" spans="1:12">
      <c r="A253" s="2">
        <v>118</v>
      </c>
      <c r="B253" s="1">
        <v>45062</v>
      </c>
      <c r="C253" t="s">
        <v>131</v>
      </c>
      <c r="D253" t="s">
        <v>13</v>
      </c>
      <c r="E253">
        <v>30</v>
      </c>
      <c r="F253" s="2" t="s">
        <v>16</v>
      </c>
      <c r="G253">
        <v>4</v>
      </c>
      <c r="H253">
        <v>500</v>
      </c>
      <c r="I253" s="8">
        <f>Table4[[#This Row],[Quantity]]*Table4[[#This Row],[Price per Unit]]</f>
        <v>2000</v>
      </c>
      <c r="J253">
        <v>2000</v>
      </c>
      <c r="K253" s="8" t="str">
        <f>IF(Table4[[#This Row],[Total Amount]]=Table4[[#This Row],[Calculated Total]],"Correct","Check")</f>
        <v>Correct</v>
      </c>
      <c r="L253" s="8"/>
    </row>
    <row r="254" spans="1:12">
      <c r="A254" s="2">
        <v>805</v>
      </c>
      <c r="B254" s="1">
        <v>45289</v>
      </c>
      <c r="C254" t="s">
        <v>818</v>
      </c>
      <c r="D254" t="s">
        <v>13</v>
      </c>
      <c r="E254">
        <v>30</v>
      </c>
      <c r="F254" s="2" t="s">
        <v>11</v>
      </c>
      <c r="G254">
        <v>3</v>
      </c>
      <c r="H254">
        <v>500</v>
      </c>
      <c r="I254" s="8">
        <f>Table4[[#This Row],[Quantity]]*Table4[[#This Row],[Price per Unit]]</f>
        <v>1500</v>
      </c>
      <c r="J254">
        <v>1500</v>
      </c>
      <c r="K254" s="8" t="str">
        <f>IF(Table4[[#This Row],[Total Amount]]=Table4[[#This Row],[Calculated Total]],"Correct","Check")</f>
        <v>Correct</v>
      </c>
      <c r="L254" s="8"/>
    </row>
    <row r="255" spans="1:12">
      <c r="A255" s="2">
        <v>956</v>
      </c>
      <c r="B255" s="1">
        <v>45157</v>
      </c>
      <c r="C255" t="s">
        <v>969</v>
      </c>
      <c r="D255" t="s">
        <v>10</v>
      </c>
      <c r="E255">
        <v>30</v>
      </c>
      <c r="F255" s="2" t="s">
        <v>14</v>
      </c>
      <c r="G255">
        <v>3</v>
      </c>
      <c r="H255">
        <v>500</v>
      </c>
      <c r="I255" s="8">
        <f>Table4[[#This Row],[Quantity]]*Table4[[#This Row],[Price per Unit]]</f>
        <v>1500</v>
      </c>
      <c r="J255">
        <v>1500</v>
      </c>
      <c r="K255" s="8" t="str">
        <f>IF(Table4[[#This Row],[Total Amount]]=Table4[[#This Row],[Calculated Total]],"Correct","Check")</f>
        <v>Correct</v>
      </c>
      <c r="L255" s="8"/>
    </row>
    <row r="256" spans="1:12">
      <c r="A256" s="2">
        <v>435</v>
      </c>
      <c r="B256" s="1">
        <v>45280</v>
      </c>
      <c r="C256" t="s">
        <v>448</v>
      </c>
      <c r="D256" t="s">
        <v>13</v>
      </c>
      <c r="E256">
        <v>30</v>
      </c>
      <c r="F256" s="2" t="s">
        <v>11</v>
      </c>
      <c r="G256">
        <v>3</v>
      </c>
      <c r="H256">
        <v>300</v>
      </c>
      <c r="I256" s="8">
        <f>Table4[[#This Row],[Quantity]]*Table4[[#This Row],[Price per Unit]]</f>
        <v>900</v>
      </c>
      <c r="J256">
        <v>900</v>
      </c>
      <c r="K256" s="8" t="str">
        <f>IF(Table4[[#This Row],[Total Amount]]=Table4[[#This Row],[Calculated Total]],"Correct","Check")</f>
        <v>Correct</v>
      </c>
      <c r="L256" s="8"/>
    </row>
    <row r="257" spans="1:12">
      <c r="A257" s="2">
        <v>987</v>
      </c>
      <c r="B257" s="1">
        <v>45045</v>
      </c>
      <c r="C257" t="s">
        <v>1000</v>
      </c>
      <c r="D257" t="s">
        <v>13</v>
      </c>
      <c r="E257">
        <v>30</v>
      </c>
      <c r="F257" s="2" t="s">
        <v>14</v>
      </c>
      <c r="G257">
        <v>3</v>
      </c>
      <c r="H257">
        <v>300</v>
      </c>
      <c r="I257" s="8">
        <f>Table4[[#This Row],[Quantity]]*Table4[[#This Row],[Price per Unit]]</f>
        <v>900</v>
      </c>
      <c r="J257">
        <v>900</v>
      </c>
      <c r="K257" s="8" t="str">
        <f>IF(Table4[[#This Row],[Total Amount]]=Table4[[#This Row],[Calculated Total]],"Correct","Check")</f>
        <v>Correct</v>
      </c>
      <c r="L257" s="8"/>
    </row>
    <row r="258" spans="1:12" hidden="1">
      <c r="A258" s="2">
        <v>290</v>
      </c>
      <c r="B258" s="1">
        <v>45203</v>
      </c>
      <c r="C258" t="s">
        <v>303</v>
      </c>
      <c r="D258" t="s">
        <v>13</v>
      </c>
      <c r="E258">
        <v>30</v>
      </c>
      <c r="F258" s="2" t="s">
        <v>11</v>
      </c>
      <c r="G258">
        <v>2</v>
      </c>
      <c r="H258">
        <v>300</v>
      </c>
      <c r="I258" s="8">
        <f>Table4[[#This Row],[Quantity]]*Table4[[#This Row],[Price per Unit]]</f>
        <v>600</v>
      </c>
      <c r="J258">
        <v>600</v>
      </c>
      <c r="K258" s="8" t="str">
        <f>IF(Table4[[#This Row],[Total Amount]]=Table4[[#This Row],[Calculated Total]],"Correct","Check")</f>
        <v>Correct</v>
      </c>
      <c r="L258" s="8"/>
    </row>
    <row r="259" spans="1:12" hidden="1">
      <c r="A259" s="2">
        <v>818</v>
      </c>
      <c r="B259" s="1">
        <v>45064</v>
      </c>
      <c r="C259" t="s">
        <v>831</v>
      </c>
      <c r="D259" t="s">
        <v>10</v>
      </c>
      <c r="E259">
        <v>30</v>
      </c>
      <c r="F259" s="2" t="s">
        <v>16</v>
      </c>
      <c r="G259">
        <v>1</v>
      </c>
      <c r="H259">
        <v>500</v>
      </c>
      <c r="I259" s="8">
        <f>Table4[[#This Row],[Quantity]]*Table4[[#This Row],[Price per Unit]]</f>
        <v>500</v>
      </c>
      <c r="J259">
        <v>500</v>
      </c>
      <c r="K259" s="8" t="str">
        <f>IF(Table4[[#This Row],[Total Amount]]=Table4[[#This Row],[Calculated Total]],"Correct","Check")</f>
        <v>Correct</v>
      </c>
      <c r="L259" s="8"/>
    </row>
    <row r="260" spans="1:12" hidden="1">
      <c r="A260" s="2">
        <v>934</v>
      </c>
      <c r="B260" s="1">
        <v>45132</v>
      </c>
      <c r="C260" t="s">
        <v>947</v>
      </c>
      <c r="D260" t="s">
        <v>10</v>
      </c>
      <c r="E260">
        <v>30</v>
      </c>
      <c r="F260" s="2" t="s">
        <v>11</v>
      </c>
      <c r="G260">
        <v>1</v>
      </c>
      <c r="H260">
        <v>500</v>
      </c>
      <c r="I260" s="8">
        <f>Table4[[#This Row],[Quantity]]*Table4[[#This Row],[Price per Unit]]</f>
        <v>500</v>
      </c>
      <c r="J260">
        <v>500</v>
      </c>
      <c r="K260" s="8" t="str">
        <f>IF(Table4[[#This Row],[Total Amount]]=Table4[[#This Row],[Calculated Total]],"Correct","Check")</f>
        <v>Correct</v>
      </c>
      <c r="L260" s="8"/>
    </row>
    <row r="261" spans="1:12">
      <c r="A261" s="2">
        <v>209</v>
      </c>
      <c r="B261" s="1">
        <v>45280</v>
      </c>
      <c r="C261" t="s">
        <v>222</v>
      </c>
      <c r="D261" t="s">
        <v>13</v>
      </c>
      <c r="E261">
        <v>30</v>
      </c>
      <c r="F261" s="2" t="s">
        <v>16</v>
      </c>
      <c r="G261">
        <v>4</v>
      </c>
      <c r="H261">
        <v>50</v>
      </c>
      <c r="I261" s="8">
        <f>Table4[[#This Row],[Quantity]]*Table4[[#This Row],[Price per Unit]]</f>
        <v>200</v>
      </c>
      <c r="J261">
        <v>200</v>
      </c>
      <c r="K261" s="8" t="str">
        <f>IF(Table4[[#This Row],[Total Amount]]=Table4[[#This Row],[Calculated Total]],"Correct","Check")</f>
        <v>Correct</v>
      </c>
      <c r="L261" s="8"/>
    </row>
    <row r="262" spans="1:12">
      <c r="A262" s="2">
        <v>817</v>
      </c>
      <c r="B262" s="1">
        <v>45230</v>
      </c>
      <c r="C262" t="s">
        <v>830</v>
      </c>
      <c r="D262" t="s">
        <v>10</v>
      </c>
      <c r="E262">
        <v>30</v>
      </c>
      <c r="F262" s="2" t="s">
        <v>11</v>
      </c>
      <c r="G262">
        <v>4</v>
      </c>
      <c r="H262">
        <v>50</v>
      </c>
      <c r="I262" s="8">
        <f>Table4[[#This Row],[Quantity]]*Table4[[#This Row],[Price per Unit]]</f>
        <v>200</v>
      </c>
      <c r="J262">
        <v>200</v>
      </c>
      <c r="K262" s="8" t="str">
        <f>IF(Table4[[#This Row],[Total Amount]]=Table4[[#This Row],[Calculated Total]],"Correct","Check")</f>
        <v>Correct</v>
      </c>
      <c r="L262" s="8"/>
    </row>
    <row r="263" spans="1:12">
      <c r="A263" s="2">
        <v>60</v>
      </c>
      <c r="B263" s="1">
        <v>45222</v>
      </c>
      <c r="C263" t="s">
        <v>73</v>
      </c>
      <c r="D263" t="s">
        <v>10</v>
      </c>
      <c r="E263">
        <v>30</v>
      </c>
      <c r="F263" s="2" t="s">
        <v>11</v>
      </c>
      <c r="G263">
        <v>3</v>
      </c>
      <c r="H263">
        <v>50</v>
      </c>
      <c r="I263" s="8">
        <f>Table4[[#This Row],[Quantity]]*Table4[[#This Row],[Price per Unit]]</f>
        <v>150</v>
      </c>
      <c r="J263">
        <v>150</v>
      </c>
      <c r="K263" s="8" t="str">
        <f>IF(Table4[[#This Row],[Total Amount]]=Table4[[#This Row],[Calculated Total]],"Correct","Check")</f>
        <v>Correct</v>
      </c>
      <c r="L263" s="8"/>
    </row>
    <row r="264" spans="1:12">
      <c r="A264" s="2">
        <v>301</v>
      </c>
      <c r="B264" s="1">
        <v>45011</v>
      </c>
      <c r="C264" t="s">
        <v>314</v>
      </c>
      <c r="D264" t="s">
        <v>10</v>
      </c>
      <c r="E264">
        <v>30</v>
      </c>
      <c r="F264" s="2" t="s">
        <v>14</v>
      </c>
      <c r="G264">
        <v>4</v>
      </c>
      <c r="H264">
        <v>30</v>
      </c>
      <c r="I264" s="8">
        <f>Table4[[#This Row],[Quantity]]*Table4[[#This Row],[Price per Unit]]</f>
        <v>120</v>
      </c>
      <c r="J264">
        <v>120</v>
      </c>
      <c r="K264" s="8" t="str">
        <f>IF(Table4[[#This Row],[Total Amount]]=Table4[[#This Row],[Calculated Total]],"Correct","Check")</f>
        <v>Correct</v>
      </c>
      <c r="L264" s="8"/>
    </row>
    <row r="265" spans="1:12">
      <c r="A265" s="2">
        <v>931</v>
      </c>
      <c r="B265" s="1">
        <v>45171</v>
      </c>
      <c r="C265" t="s">
        <v>944</v>
      </c>
      <c r="D265" t="s">
        <v>10</v>
      </c>
      <c r="E265">
        <v>30</v>
      </c>
      <c r="F265" s="2" t="s">
        <v>11</v>
      </c>
      <c r="G265">
        <v>4</v>
      </c>
      <c r="H265">
        <v>30</v>
      </c>
      <c r="I265" s="8">
        <f>Table4[[#This Row],[Quantity]]*Table4[[#This Row],[Price per Unit]]</f>
        <v>120</v>
      </c>
      <c r="J265">
        <v>120</v>
      </c>
      <c r="K265" s="8" t="str">
        <f>IF(Table4[[#This Row],[Total Amount]]=Table4[[#This Row],[Calculated Total]],"Correct","Check")</f>
        <v>Correct</v>
      </c>
      <c r="L265" s="8"/>
    </row>
    <row r="266" spans="1:12" hidden="1">
      <c r="A266" s="2">
        <v>5</v>
      </c>
      <c r="B266" s="1">
        <v>45052</v>
      </c>
      <c r="C266" t="s">
        <v>18</v>
      </c>
      <c r="D266" t="s">
        <v>10</v>
      </c>
      <c r="E266">
        <v>30</v>
      </c>
      <c r="F266" s="2" t="s">
        <v>11</v>
      </c>
      <c r="G266">
        <v>2</v>
      </c>
      <c r="H266">
        <v>50</v>
      </c>
      <c r="I266" s="8">
        <f>Table4[[#This Row],[Quantity]]*Table4[[#This Row],[Price per Unit]]</f>
        <v>100</v>
      </c>
      <c r="J266">
        <v>100</v>
      </c>
      <c r="K266" s="8" t="str">
        <f>IF(Table4[[#This Row],[Total Amount]]=Table4[[#This Row],[Calculated Total]],"Correct","Check")</f>
        <v>Correct</v>
      </c>
      <c r="L266" s="8"/>
    </row>
    <row r="267" spans="1:12">
      <c r="A267" s="2">
        <v>8</v>
      </c>
      <c r="B267" s="1">
        <v>44979</v>
      </c>
      <c r="C267" t="s">
        <v>21</v>
      </c>
      <c r="D267" t="s">
        <v>10</v>
      </c>
      <c r="E267">
        <v>30</v>
      </c>
      <c r="F267" s="2" t="s">
        <v>16</v>
      </c>
      <c r="G267">
        <v>4</v>
      </c>
      <c r="H267">
        <v>25</v>
      </c>
      <c r="I267" s="8">
        <f>Table4[[#This Row],[Quantity]]*Table4[[#This Row],[Price per Unit]]</f>
        <v>100</v>
      </c>
      <c r="J267">
        <v>100</v>
      </c>
      <c r="K267" s="8" t="str">
        <f>IF(Table4[[#This Row],[Total Amount]]=Table4[[#This Row],[Calculated Total]],"Correct","Check")</f>
        <v>Correct</v>
      </c>
      <c r="L267" s="8"/>
    </row>
    <row r="268" spans="1:12">
      <c r="A268" s="2">
        <v>516</v>
      </c>
      <c r="B268" s="1">
        <v>45222</v>
      </c>
      <c r="C268" t="s">
        <v>529</v>
      </c>
      <c r="D268" t="s">
        <v>10</v>
      </c>
      <c r="E268">
        <v>30</v>
      </c>
      <c r="F268" s="2" t="s">
        <v>11</v>
      </c>
      <c r="G268">
        <v>4</v>
      </c>
      <c r="H268">
        <v>25</v>
      </c>
      <c r="I268" s="8">
        <f>Table4[[#This Row],[Quantity]]*Table4[[#This Row],[Price per Unit]]</f>
        <v>100</v>
      </c>
      <c r="J268">
        <v>100</v>
      </c>
      <c r="K268" s="8" t="str">
        <f>IF(Table4[[#This Row],[Total Amount]]=Table4[[#This Row],[Calculated Total]],"Correct","Check")</f>
        <v>Correct</v>
      </c>
      <c r="L268" s="8"/>
    </row>
    <row r="269" spans="1:12">
      <c r="A269" s="2">
        <v>32</v>
      </c>
      <c r="B269" s="1">
        <v>44930</v>
      </c>
      <c r="C269" t="s">
        <v>45</v>
      </c>
      <c r="D269" t="s">
        <v>10</v>
      </c>
      <c r="E269">
        <v>30</v>
      </c>
      <c r="F269" s="2" t="s">
        <v>11</v>
      </c>
      <c r="G269">
        <v>3</v>
      </c>
      <c r="H269">
        <v>30</v>
      </c>
      <c r="I269" s="8">
        <f>Table4[[#This Row],[Quantity]]*Table4[[#This Row],[Price per Unit]]</f>
        <v>90</v>
      </c>
      <c r="J269">
        <v>90</v>
      </c>
      <c r="K269" s="8" t="str">
        <f>IF(Table4[[#This Row],[Total Amount]]=Table4[[#This Row],[Calculated Total]],"Correct","Check")</f>
        <v>Correct</v>
      </c>
      <c r="L269" s="8"/>
    </row>
    <row r="270" spans="1:12" hidden="1">
      <c r="A270" s="2">
        <v>981</v>
      </c>
      <c r="B270" s="1">
        <v>45157</v>
      </c>
      <c r="C270" t="s">
        <v>994</v>
      </c>
      <c r="D270" t="s">
        <v>13</v>
      </c>
      <c r="E270">
        <v>30</v>
      </c>
      <c r="F270" s="2" t="s">
        <v>16</v>
      </c>
      <c r="G270">
        <v>2</v>
      </c>
      <c r="H270">
        <v>30</v>
      </c>
      <c r="I270" s="8">
        <f>Table4[[#This Row],[Quantity]]*Table4[[#This Row],[Price per Unit]]</f>
        <v>60</v>
      </c>
      <c r="J270">
        <v>60</v>
      </c>
      <c r="K270" s="8" t="str">
        <f>IF(Table4[[#This Row],[Total Amount]]=Table4[[#This Row],[Calculated Total]],"Correct","Check")</f>
        <v>Correct</v>
      </c>
      <c r="L270" s="8"/>
    </row>
    <row r="271" spans="1:12" hidden="1">
      <c r="A271" s="2">
        <v>863</v>
      </c>
      <c r="B271" s="1">
        <v>45040</v>
      </c>
      <c r="C271" t="s">
        <v>876</v>
      </c>
      <c r="D271" t="s">
        <v>13</v>
      </c>
      <c r="E271">
        <v>30</v>
      </c>
      <c r="F271" s="2" t="s">
        <v>16</v>
      </c>
      <c r="G271">
        <v>2</v>
      </c>
      <c r="H271">
        <v>25</v>
      </c>
      <c r="I271" s="8">
        <f>Table4[[#This Row],[Quantity]]*Table4[[#This Row],[Price per Unit]]</f>
        <v>50</v>
      </c>
      <c r="J271">
        <v>50</v>
      </c>
      <c r="K271" s="8" t="str">
        <f>IF(Table4[[#This Row],[Total Amount]]=Table4[[#This Row],[Calculated Total]],"Correct","Check")</f>
        <v>Correct</v>
      </c>
      <c r="L271" s="8"/>
    </row>
    <row r="272" spans="1:12" hidden="1">
      <c r="A272" s="2">
        <v>896</v>
      </c>
      <c r="B272" s="1">
        <v>45228</v>
      </c>
      <c r="C272" t="s">
        <v>909</v>
      </c>
      <c r="D272" t="s">
        <v>13</v>
      </c>
      <c r="E272">
        <v>30</v>
      </c>
      <c r="F272" s="2" t="s">
        <v>16</v>
      </c>
      <c r="G272">
        <v>2</v>
      </c>
      <c r="H272">
        <v>25</v>
      </c>
      <c r="I272" s="8">
        <f>Table4[[#This Row],[Quantity]]*Table4[[#This Row],[Price per Unit]]</f>
        <v>50</v>
      </c>
      <c r="J272">
        <v>50</v>
      </c>
      <c r="K272" s="8" t="str">
        <f>IF(Table4[[#This Row],[Total Amount]]=Table4[[#This Row],[Calculated Total]],"Correct","Check")</f>
        <v>Correct</v>
      </c>
      <c r="L272" s="8"/>
    </row>
    <row r="273" spans="1:12" hidden="1">
      <c r="A273" s="2">
        <v>397</v>
      </c>
      <c r="B273" s="1">
        <v>44995</v>
      </c>
      <c r="C273" t="s">
        <v>410</v>
      </c>
      <c r="D273" t="s">
        <v>13</v>
      </c>
      <c r="E273">
        <v>30</v>
      </c>
      <c r="F273" s="2" t="s">
        <v>11</v>
      </c>
      <c r="G273">
        <v>1</v>
      </c>
      <c r="H273">
        <v>25</v>
      </c>
      <c r="I273" s="8">
        <f>Table4[[#This Row],[Quantity]]*Table4[[#This Row],[Price per Unit]]</f>
        <v>25</v>
      </c>
      <c r="J273">
        <v>25</v>
      </c>
      <c r="K273" s="8" t="str">
        <f>IF(Table4[[#This Row],[Total Amount]]=Table4[[#This Row],[Calculated Total]],"Correct","Check")</f>
        <v>Correct</v>
      </c>
      <c r="L273" s="8"/>
    </row>
    <row r="274" spans="1:12" hidden="1">
      <c r="A274" s="2">
        <v>945</v>
      </c>
      <c r="B274" s="1">
        <v>44970</v>
      </c>
      <c r="C274" t="s">
        <v>958</v>
      </c>
      <c r="D274" t="s">
        <v>10</v>
      </c>
      <c r="E274">
        <v>30</v>
      </c>
      <c r="F274" s="2" t="s">
        <v>11</v>
      </c>
      <c r="G274">
        <v>1</v>
      </c>
      <c r="H274">
        <v>25</v>
      </c>
      <c r="I274" s="8">
        <f>Table4[[#This Row],[Quantity]]*Table4[[#This Row],[Price per Unit]]</f>
        <v>25</v>
      </c>
      <c r="J274">
        <v>25</v>
      </c>
      <c r="K274" s="8" t="str">
        <f>IF(Table4[[#This Row],[Total Amount]]=Table4[[#This Row],[Calculated Total]],"Correct","Check")</f>
        <v>Correct</v>
      </c>
      <c r="L274" s="8"/>
    </row>
    <row r="275" spans="1:12">
      <c r="A275" s="2">
        <v>572</v>
      </c>
      <c r="B275" s="1">
        <v>45036</v>
      </c>
      <c r="C275" t="s">
        <v>585</v>
      </c>
      <c r="D275" t="s">
        <v>10</v>
      </c>
      <c r="E275">
        <v>31</v>
      </c>
      <c r="F275" s="2" t="s">
        <v>14</v>
      </c>
      <c r="G275">
        <v>4</v>
      </c>
      <c r="H275">
        <v>500</v>
      </c>
      <c r="I275" s="8">
        <f>Table4[[#This Row],[Quantity]]*Table4[[#This Row],[Price per Unit]]</f>
        <v>2000</v>
      </c>
      <c r="J275">
        <v>2000</v>
      </c>
      <c r="K275" s="8" t="str">
        <f>IF(Table4[[#This Row],[Total Amount]]=Table4[[#This Row],[Calculated Total]],"Correct","Check")</f>
        <v>Correct</v>
      </c>
      <c r="L275" s="8"/>
    </row>
    <row r="276" spans="1:12">
      <c r="A276" s="2">
        <v>155</v>
      </c>
      <c r="B276" s="1">
        <v>45063</v>
      </c>
      <c r="C276" t="s">
        <v>168</v>
      </c>
      <c r="D276" t="s">
        <v>10</v>
      </c>
      <c r="E276">
        <v>31</v>
      </c>
      <c r="F276" s="2" t="s">
        <v>16</v>
      </c>
      <c r="G276">
        <v>4</v>
      </c>
      <c r="H276">
        <v>500</v>
      </c>
      <c r="I276" s="8">
        <f>Table4[[#This Row],[Quantity]]*Table4[[#This Row],[Price per Unit]]</f>
        <v>2000</v>
      </c>
      <c r="J276">
        <v>2000</v>
      </c>
      <c r="K276" s="8" t="str">
        <f>IF(Table4[[#This Row],[Total Amount]]=Table4[[#This Row],[Calculated Total]],"Correct","Check")</f>
        <v>Correct</v>
      </c>
      <c r="L276" s="8"/>
    </row>
    <row r="277" spans="1:12">
      <c r="A277" s="2">
        <v>580</v>
      </c>
      <c r="B277" s="1">
        <v>45266</v>
      </c>
      <c r="C277" t="s">
        <v>593</v>
      </c>
      <c r="D277" t="s">
        <v>13</v>
      </c>
      <c r="E277">
        <v>31</v>
      </c>
      <c r="F277" s="2" t="s">
        <v>14</v>
      </c>
      <c r="G277">
        <v>3</v>
      </c>
      <c r="H277">
        <v>500</v>
      </c>
      <c r="I277" s="8">
        <f>Table4[[#This Row],[Quantity]]*Table4[[#This Row],[Price per Unit]]</f>
        <v>1500</v>
      </c>
      <c r="J277">
        <v>1500</v>
      </c>
      <c r="K277" s="8" t="str">
        <f>IF(Table4[[#This Row],[Total Amount]]=Table4[[#This Row],[Calculated Total]],"Correct","Check")</f>
        <v>Correct</v>
      </c>
      <c r="L277" s="8"/>
    </row>
    <row r="278" spans="1:12">
      <c r="A278" s="2">
        <v>334</v>
      </c>
      <c r="B278" s="1">
        <v>45231</v>
      </c>
      <c r="C278" t="s">
        <v>347</v>
      </c>
      <c r="D278" t="s">
        <v>10</v>
      </c>
      <c r="E278">
        <v>31</v>
      </c>
      <c r="F278" s="2" t="s">
        <v>16</v>
      </c>
      <c r="G278">
        <v>3</v>
      </c>
      <c r="H278">
        <v>300</v>
      </c>
      <c r="I278" s="8">
        <f>Table4[[#This Row],[Quantity]]*Table4[[#This Row],[Price per Unit]]</f>
        <v>900</v>
      </c>
      <c r="J278">
        <v>900</v>
      </c>
      <c r="K278" s="8" t="str">
        <f>IF(Table4[[#This Row],[Total Amount]]=Table4[[#This Row],[Calculated Total]],"Correct","Check")</f>
        <v>Correct</v>
      </c>
      <c r="L278" s="8"/>
    </row>
    <row r="279" spans="1:12" hidden="1">
      <c r="A279" s="2">
        <v>319</v>
      </c>
      <c r="B279" s="1">
        <v>45204</v>
      </c>
      <c r="C279" t="s">
        <v>332</v>
      </c>
      <c r="D279" t="s">
        <v>10</v>
      </c>
      <c r="E279">
        <v>31</v>
      </c>
      <c r="F279" s="2" t="s">
        <v>14</v>
      </c>
      <c r="G279">
        <v>1</v>
      </c>
      <c r="H279">
        <v>500</v>
      </c>
      <c r="I279" s="8">
        <f>Table4[[#This Row],[Quantity]]*Table4[[#This Row],[Price per Unit]]</f>
        <v>500</v>
      </c>
      <c r="J279">
        <v>500</v>
      </c>
      <c r="K279" s="8" t="str">
        <f>IF(Table4[[#This Row],[Total Amount]]=Table4[[#This Row],[Calculated Total]],"Correct","Check")</f>
        <v>Correct</v>
      </c>
      <c r="L279" s="8"/>
    </row>
    <row r="280" spans="1:12" hidden="1">
      <c r="A280" s="2">
        <v>353</v>
      </c>
      <c r="B280" s="1">
        <v>45060</v>
      </c>
      <c r="C280" t="s">
        <v>366</v>
      </c>
      <c r="D280" t="s">
        <v>10</v>
      </c>
      <c r="E280">
        <v>31</v>
      </c>
      <c r="F280" s="2" t="s">
        <v>16</v>
      </c>
      <c r="G280">
        <v>1</v>
      </c>
      <c r="H280">
        <v>500</v>
      </c>
      <c r="I280" s="8">
        <f>Table4[[#This Row],[Quantity]]*Table4[[#This Row],[Price per Unit]]</f>
        <v>500</v>
      </c>
      <c r="J280">
        <v>500</v>
      </c>
      <c r="K280" s="8" t="str">
        <f>IF(Table4[[#This Row],[Total Amount]]=Table4[[#This Row],[Calculated Total]],"Correct","Check")</f>
        <v>Correct</v>
      </c>
      <c r="L280" s="8"/>
    </row>
    <row r="281" spans="1:12" hidden="1">
      <c r="A281" s="2">
        <v>531</v>
      </c>
      <c r="B281" s="1">
        <v>45267</v>
      </c>
      <c r="C281" t="s">
        <v>544</v>
      </c>
      <c r="D281" t="s">
        <v>10</v>
      </c>
      <c r="E281">
        <v>31</v>
      </c>
      <c r="F281" s="2" t="s">
        <v>16</v>
      </c>
      <c r="G281">
        <v>1</v>
      </c>
      <c r="H281">
        <v>500</v>
      </c>
      <c r="I281" s="8">
        <f>Table4[[#This Row],[Quantity]]*Table4[[#This Row],[Price per Unit]]</f>
        <v>500</v>
      </c>
      <c r="J281">
        <v>500</v>
      </c>
      <c r="K281" s="8" t="str">
        <f>IF(Table4[[#This Row],[Total Amount]]=Table4[[#This Row],[Calculated Total]],"Correct","Check")</f>
        <v>Correct</v>
      </c>
      <c r="L281" s="8"/>
    </row>
    <row r="282" spans="1:12" hidden="1">
      <c r="A282" s="2">
        <v>365</v>
      </c>
      <c r="B282" s="1">
        <v>45088</v>
      </c>
      <c r="C282" t="s">
        <v>378</v>
      </c>
      <c r="D282" t="s">
        <v>10</v>
      </c>
      <c r="E282">
        <v>31</v>
      </c>
      <c r="F282" s="2" t="s">
        <v>14</v>
      </c>
      <c r="G282">
        <v>1</v>
      </c>
      <c r="H282">
        <v>300</v>
      </c>
      <c r="I282" s="8">
        <f>Table4[[#This Row],[Quantity]]*Table4[[#This Row],[Price per Unit]]</f>
        <v>300</v>
      </c>
      <c r="J282">
        <v>300</v>
      </c>
      <c r="K282" s="8" t="str">
        <f>IF(Table4[[#This Row],[Total Amount]]=Table4[[#This Row],[Calculated Total]],"Correct","Check")</f>
        <v>Correct</v>
      </c>
      <c r="L282" s="8"/>
    </row>
    <row r="283" spans="1:12" hidden="1">
      <c r="A283" s="2">
        <v>625</v>
      </c>
      <c r="B283" s="1">
        <v>45268</v>
      </c>
      <c r="C283" t="s">
        <v>638</v>
      </c>
      <c r="D283" t="s">
        <v>10</v>
      </c>
      <c r="E283">
        <v>31</v>
      </c>
      <c r="F283" s="2" t="s">
        <v>14</v>
      </c>
      <c r="G283">
        <v>1</v>
      </c>
      <c r="H283">
        <v>300</v>
      </c>
      <c r="I283" s="8">
        <f>Table4[[#This Row],[Quantity]]*Table4[[#This Row],[Price per Unit]]</f>
        <v>300</v>
      </c>
      <c r="J283">
        <v>300</v>
      </c>
      <c r="K283" s="8" t="str">
        <f>IF(Table4[[#This Row],[Total Amount]]=Table4[[#This Row],[Calculated Total]],"Correct","Check")</f>
        <v>Correct</v>
      </c>
      <c r="L283" s="8"/>
    </row>
    <row r="284" spans="1:12" hidden="1">
      <c r="A284" s="2">
        <v>179</v>
      </c>
      <c r="B284" s="1">
        <v>45198</v>
      </c>
      <c r="C284" t="s">
        <v>192</v>
      </c>
      <c r="D284" t="s">
        <v>10</v>
      </c>
      <c r="E284">
        <v>31</v>
      </c>
      <c r="F284" s="2" t="s">
        <v>16</v>
      </c>
      <c r="G284">
        <v>1</v>
      </c>
      <c r="H284">
        <v>300</v>
      </c>
      <c r="I284" s="8">
        <f>Table4[[#This Row],[Quantity]]*Table4[[#This Row],[Price per Unit]]</f>
        <v>300</v>
      </c>
      <c r="J284">
        <v>300</v>
      </c>
      <c r="K284" s="8" t="str">
        <f>IF(Table4[[#This Row],[Total Amount]]=Table4[[#This Row],[Calculated Total]],"Correct","Check")</f>
        <v>Correct</v>
      </c>
      <c r="L284" s="8"/>
    </row>
    <row r="285" spans="1:12">
      <c r="A285" s="2">
        <v>341</v>
      </c>
      <c r="B285" s="1">
        <v>45053</v>
      </c>
      <c r="C285" t="s">
        <v>354</v>
      </c>
      <c r="D285" t="s">
        <v>10</v>
      </c>
      <c r="E285">
        <v>31</v>
      </c>
      <c r="F285" s="2" t="s">
        <v>14</v>
      </c>
      <c r="G285">
        <v>4</v>
      </c>
      <c r="H285">
        <v>50</v>
      </c>
      <c r="I285" s="8">
        <f>Table4[[#This Row],[Quantity]]*Table4[[#This Row],[Price per Unit]]</f>
        <v>200</v>
      </c>
      <c r="J285">
        <v>200</v>
      </c>
      <c r="K285" s="8" t="str">
        <f>IF(Table4[[#This Row],[Total Amount]]=Table4[[#This Row],[Calculated Total]],"Correct","Check")</f>
        <v>Correct</v>
      </c>
      <c r="L285" s="8"/>
    </row>
    <row r="286" spans="1:12">
      <c r="A286" s="2">
        <v>184</v>
      </c>
      <c r="B286" s="1">
        <v>44936</v>
      </c>
      <c r="C286" t="s">
        <v>197</v>
      </c>
      <c r="D286" t="s">
        <v>10</v>
      </c>
      <c r="E286">
        <v>31</v>
      </c>
      <c r="F286" s="2" t="s">
        <v>16</v>
      </c>
      <c r="G286">
        <v>4</v>
      </c>
      <c r="H286">
        <v>50</v>
      </c>
      <c r="I286" s="8">
        <f>Table4[[#This Row],[Quantity]]*Table4[[#This Row],[Price per Unit]]</f>
        <v>200</v>
      </c>
      <c r="J286">
        <v>200</v>
      </c>
      <c r="K286" s="8" t="str">
        <f>IF(Table4[[#This Row],[Total Amount]]=Table4[[#This Row],[Calculated Total]],"Correct","Check")</f>
        <v>Correct</v>
      </c>
      <c r="L286" s="8"/>
    </row>
    <row r="287" spans="1:12">
      <c r="A287" s="2">
        <v>785</v>
      </c>
      <c r="B287" s="1">
        <v>44988</v>
      </c>
      <c r="C287" t="s">
        <v>798</v>
      </c>
      <c r="D287" t="s">
        <v>13</v>
      </c>
      <c r="E287">
        <v>31</v>
      </c>
      <c r="F287" s="2" t="s">
        <v>11</v>
      </c>
      <c r="G287">
        <v>4</v>
      </c>
      <c r="H287">
        <v>50</v>
      </c>
      <c r="I287" s="8">
        <f>Table4[[#This Row],[Quantity]]*Table4[[#This Row],[Price per Unit]]</f>
        <v>200</v>
      </c>
      <c r="J287">
        <v>200</v>
      </c>
      <c r="K287" s="8" t="str">
        <f>IF(Table4[[#This Row],[Total Amount]]=Table4[[#This Row],[Calculated Total]],"Correct","Check")</f>
        <v>Correct</v>
      </c>
      <c r="L287" s="8"/>
    </row>
    <row r="288" spans="1:12">
      <c r="A288" s="2">
        <v>85</v>
      </c>
      <c r="B288" s="1">
        <v>44963</v>
      </c>
      <c r="C288" t="s">
        <v>98</v>
      </c>
      <c r="D288" t="s">
        <v>10</v>
      </c>
      <c r="E288">
        <v>31</v>
      </c>
      <c r="F288" s="2" t="s">
        <v>14</v>
      </c>
      <c r="G288">
        <v>3</v>
      </c>
      <c r="H288">
        <v>50</v>
      </c>
      <c r="I288" s="8">
        <f>Table4[[#This Row],[Quantity]]*Table4[[#This Row],[Price per Unit]]</f>
        <v>150</v>
      </c>
      <c r="J288">
        <v>150</v>
      </c>
      <c r="K288" s="8" t="str">
        <f>IF(Table4[[#This Row],[Total Amount]]=Table4[[#This Row],[Calculated Total]],"Correct","Check")</f>
        <v>Correct</v>
      </c>
      <c r="L288" s="8"/>
    </row>
    <row r="289" spans="1:12">
      <c r="A289" s="2">
        <v>55</v>
      </c>
      <c r="B289" s="1">
        <v>45209</v>
      </c>
      <c r="C289" t="s">
        <v>68</v>
      </c>
      <c r="D289" t="s">
        <v>10</v>
      </c>
      <c r="E289">
        <v>31</v>
      </c>
      <c r="F289" s="2" t="s">
        <v>11</v>
      </c>
      <c r="G289">
        <v>4</v>
      </c>
      <c r="H289">
        <v>30</v>
      </c>
      <c r="I289" s="8">
        <f>Table4[[#This Row],[Quantity]]*Table4[[#This Row],[Price per Unit]]</f>
        <v>120</v>
      </c>
      <c r="J289">
        <v>120</v>
      </c>
      <c r="K289" s="8" t="str">
        <f>IF(Table4[[#This Row],[Total Amount]]=Table4[[#This Row],[Calculated Total]],"Correct","Check")</f>
        <v>Correct</v>
      </c>
      <c r="L289" s="8"/>
    </row>
    <row r="290" spans="1:12">
      <c r="A290" s="2">
        <v>769</v>
      </c>
      <c r="B290" s="1">
        <v>45086</v>
      </c>
      <c r="C290" t="s">
        <v>782</v>
      </c>
      <c r="D290" t="s">
        <v>13</v>
      </c>
      <c r="E290">
        <v>31</v>
      </c>
      <c r="F290" s="2" t="s">
        <v>16</v>
      </c>
      <c r="G290">
        <v>4</v>
      </c>
      <c r="H290">
        <v>30</v>
      </c>
      <c r="I290" s="8">
        <f>Table4[[#This Row],[Quantity]]*Table4[[#This Row],[Price per Unit]]</f>
        <v>120</v>
      </c>
      <c r="J290">
        <v>120</v>
      </c>
      <c r="K290" s="8" t="str">
        <f>IF(Table4[[#This Row],[Total Amount]]=Table4[[#This Row],[Calculated Total]],"Correct","Check")</f>
        <v>Correct</v>
      </c>
      <c r="L290" s="8"/>
    </row>
    <row r="291" spans="1:12">
      <c r="A291" s="2">
        <v>175</v>
      </c>
      <c r="B291" s="1">
        <v>45005</v>
      </c>
      <c r="C291" t="s">
        <v>188</v>
      </c>
      <c r="D291" t="s">
        <v>13</v>
      </c>
      <c r="E291">
        <v>31</v>
      </c>
      <c r="F291" s="2" t="s">
        <v>16</v>
      </c>
      <c r="G291">
        <v>4</v>
      </c>
      <c r="H291">
        <v>25</v>
      </c>
      <c r="I291" s="8">
        <f>Table4[[#This Row],[Quantity]]*Table4[[#This Row],[Price per Unit]]</f>
        <v>100</v>
      </c>
      <c r="J291">
        <v>100</v>
      </c>
      <c r="K291" s="8" t="str">
        <f>IF(Table4[[#This Row],[Total Amount]]=Table4[[#This Row],[Calculated Total]],"Correct","Check")</f>
        <v>Correct</v>
      </c>
      <c r="L291" s="8"/>
    </row>
    <row r="292" spans="1:12">
      <c r="A292" s="2">
        <v>455</v>
      </c>
      <c r="B292" s="1">
        <v>45108</v>
      </c>
      <c r="C292" t="s">
        <v>468</v>
      </c>
      <c r="D292" t="s">
        <v>10</v>
      </c>
      <c r="E292">
        <v>31</v>
      </c>
      <c r="F292" s="2" t="s">
        <v>16</v>
      </c>
      <c r="G292">
        <v>4</v>
      </c>
      <c r="H292">
        <v>25</v>
      </c>
      <c r="I292" s="8">
        <f>Table4[[#This Row],[Quantity]]*Table4[[#This Row],[Price per Unit]]</f>
        <v>100</v>
      </c>
      <c r="J292">
        <v>100</v>
      </c>
      <c r="K292" s="8" t="str">
        <f>IF(Table4[[#This Row],[Total Amount]]=Table4[[#This Row],[Calculated Total]],"Correct","Check")</f>
        <v>Correct</v>
      </c>
      <c r="L292" s="8"/>
    </row>
    <row r="293" spans="1:12">
      <c r="A293" s="2">
        <v>841</v>
      </c>
      <c r="B293" s="1">
        <v>45232</v>
      </c>
      <c r="C293" t="s">
        <v>854</v>
      </c>
      <c r="D293" t="s">
        <v>10</v>
      </c>
      <c r="E293">
        <v>31</v>
      </c>
      <c r="F293" s="2" t="s">
        <v>16</v>
      </c>
      <c r="G293">
        <v>4</v>
      </c>
      <c r="H293">
        <v>25</v>
      </c>
      <c r="I293" s="8">
        <f>Table4[[#This Row],[Quantity]]*Table4[[#This Row],[Price per Unit]]</f>
        <v>100</v>
      </c>
      <c r="J293">
        <v>100</v>
      </c>
      <c r="K293" s="8" t="str">
        <f>IF(Table4[[#This Row],[Total Amount]]=Table4[[#This Row],[Calculated Total]],"Correct","Check")</f>
        <v>Correct</v>
      </c>
      <c r="L293" s="8"/>
    </row>
    <row r="294" spans="1:12">
      <c r="A294" s="2">
        <v>980</v>
      </c>
      <c r="B294" s="1">
        <v>45136</v>
      </c>
      <c r="C294" t="s">
        <v>993</v>
      </c>
      <c r="D294" t="s">
        <v>13</v>
      </c>
      <c r="E294">
        <v>31</v>
      </c>
      <c r="F294" s="2" t="s">
        <v>16</v>
      </c>
      <c r="G294">
        <v>3</v>
      </c>
      <c r="H294">
        <v>25</v>
      </c>
      <c r="I294" s="8">
        <f>Table4[[#This Row],[Quantity]]*Table4[[#This Row],[Price per Unit]]</f>
        <v>75</v>
      </c>
      <c r="J294">
        <v>75</v>
      </c>
      <c r="K294" s="8" t="str">
        <f>IF(Table4[[#This Row],[Total Amount]]=Table4[[#This Row],[Calculated Total]],"Correct","Check")</f>
        <v>Correct</v>
      </c>
      <c r="L294" s="8"/>
    </row>
    <row r="295" spans="1:12" hidden="1">
      <c r="A295" s="2">
        <v>901</v>
      </c>
      <c r="B295" s="1">
        <v>45026</v>
      </c>
      <c r="C295" t="s">
        <v>914</v>
      </c>
      <c r="D295" t="s">
        <v>10</v>
      </c>
      <c r="E295">
        <v>31</v>
      </c>
      <c r="F295" s="2" t="s">
        <v>16</v>
      </c>
      <c r="G295">
        <v>1</v>
      </c>
      <c r="H295">
        <v>30</v>
      </c>
      <c r="I295" s="8">
        <f>Table4[[#This Row],[Quantity]]*Table4[[#This Row],[Price per Unit]]</f>
        <v>30</v>
      </c>
      <c r="J295">
        <v>30</v>
      </c>
      <c r="K295" s="8" t="str">
        <f>IF(Table4[[#This Row],[Total Amount]]=Table4[[#This Row],[Calculated Total]],"Correct","Check")</f>
        <v>Correct</v>
      </c>
      <c r="L295" s="8"/>
    </row>
    <row r="296" spans="1:12" hidden="1">
      <c r="A296" s="2">
        <v>285</v>
      </c>
      <c r="B296" s="1">
        <v>45153</v>
      </c>
      <c r="C296" t="s">
        <v>298</v>
      </c>
      <c r="D296" t="s">
        <v>13</v>
      </c>
      <c r="E296">
        <v>31</v>
      </c>
      <c r="F296" s="2" t="s">
        <v>16</v>
      </c>
      <c r="G296">
        <v>1</v>
      </c>
      <c r="H296">
        <v>25</v>
      </c>
      <c r="I296" s="8">
        <f>Table4[[#This Row],[Quantity]]*Table4[[#This Row],[Price per Unit]]</f>
        <v>25</v>
      </c>
      <c r="J296">
        <v>25</v>
      </c>
      <c r="K296" s="8" t="str">
        <f>IF(Table4[[#This Row],[Total Amount]]=Table4[[#This Row],[Calculated Total]],"Correct","Check")</f>
        <v>Correct</v>
      </c>
      <c r="L296" s="8"/>
    </row>
    <row r="297" spans="1:12">
      <c r="A297" s="2">
        <v>800</v>
      </c>
      <c r="B297" s="1">
        <v>44981</v>
      </c>
      <c r="C297" t="s">
        <v>813</v>
      </c>
      <c r="D297" t="s">
        <v>10</v>
      </c>
      <c r="E297">
        <v>32</v>
      </c>
      <c r="F297" s="2" t="s">
        <v>14</v>
      </c>
      <c r="G297">
        <v>4</v>
      </c>
      <c r="H297">
        <v>300</v>
      </c>
      <c r="I297" s="8">
        <f>Table4[[#This Row],[Quantity]]*Table4[[#This Row],[Price per Unit]]</f>
        <v>1200</v>
      </c>
      <c r="J297">
        <v>1200</v>
      </c>
      <c r="K297" s="8" t="str">
        <f>IF(Table4[[#This Row],[Total Amount]]=Table4[[#This Row],[Calculated Total]],"Correct","Check")</f>
        <v>Correct</v>
      </c>
      <c r="L297" s="8"/>
    </row>
    <row r="298" spans="1:12">
      <c r="A298" s="2">
        <v>196</v>
      </c>
      <c r="B298" s="1">
        <v>45199</v>
      </c>
      <c r="C298" t="s">
        <v>209</v>
      </c>
      <c r="D298" t="s">
        <v>13</v>
      </c>
      <c r="E298">
        <v>32</v>
      </c>
      <c r="F298" s="2" t="s">
        <v>14</v>
      </c>
      <c r="G298">
        <v>3</v>
      </c>
      <c r="H298">
        <v>300</v>
      </c>
      <c r="I298" s="8">
        <f>Table4[[#This Row],[Quantity]]*Table4[[#This Row],[Price per Unit]]</f>
        <v>900</v>
      </c>
      <c r="J298">
        <v>900</v>
      </c>
      <c r="K298" s="8" t="str">
        <f>IF(Table4[[#This Row],[Total Amount]]=Table4[[#This Row],[Calculated Total]],"Correct","Check")</f>
        <v>Correct</v>
      </c>
      <c r="L298" s="8"/>
    </row>
    <row r="299" spans="1:12">
      <c r="A299" s="2">
        <v>923</v>
      </c>
      <c r="B299" s="1">
        <v>45072</v>
      </c>
      <c r="C299" t="s">
        <v>936</v>
      </c>
      <c r="D299" t="s">
        <v>10</v>
      </c>
      <c r="E299">
        <v>32</v>
      </c>
      <c r="F299" s="2" t="s">
        <v>11</v>
      </c>
      <c r="G299">
        <v>3</v>
      </c>
      <c r="H299">
        <v>300</v>
      </c>
      <c r="I299" s="8">
        <f>Table4[[#This Row],[Quantity]]*Table4[[#This Row],[Price per Unit]]</f>
        <v>900</v>
      </c>
      <c r="J299">
        <v>900</v>
      </c>
      <c r="K299" s="8" t="str">
        <f>IF(Table4[[#This Row],[Total Amount]]=Table4[[#This Row],[Calculated Total]],"Correct","Check")</f>
        <v>Correct</v>
      </c>
      <c r="L299" s="8"/>
    </row>
    <row r="300" spans="1:12" hidden="1">
      <c r="A300" s="2">
        <v>101</v>
      </c>
      <c r="B300" s="1">
        <v>44955</v>
      </c>
      <c r="C300" t="s">
        <v>114</v>
      </c>
      <c r="D300" t="s">
        <v>10</v>
      </c>
      <c r="E300">
        <v>32</v>
      </c>
      <c r="F300" s="2" t="s">
        <v>14</v>
      </c>
      <c r="G300">
        <v>2</v>
      </c>
      <c r="H300">
        <v>300</v>
      </c>
      <c r="I300" s="8">
        <f>Table4[[#This Row],[Quantity]]*Table4[[#This Row],[Price per Unit]]</f>
        <v>600</v>
      </c>
      <c r="J300">
        <v>600</v>
      </c>
      <c r="K300" s="8" t="str">
        <f>IF(Table4[[#This Row],[Total Amount]]=Table4[[#This Row],[Calculated Total]],"Correct","Check")</f>
        <v>Correct</v>
      </c>
      <c r="L300" s="8"/>
    </row>
    <row r="301" spans="1:12" hidden="1">
      <c r="A301" s="2">
        <v>403</v>
      </c>
      <c r="B301" s="1">
        <v>45066</v>
      </c>
      <c r="C301" t="s">
        <v>416</v>
      </c>
      <c r="D301" t="s">
        <v>10</v>
      </c>
      <c r="E301">
        <v>32</v>
      </c>
      <c r="F301" s="2" t="s">
        <v>14</v>
      </c>
      <c r="G301">
        <v>2</v>
      </c>
      <c r="H301">
        <v>300</v>
      </c>
      <c r="I301" s="8">
        <f>Table4[[#This Row],[Quantity]]*Table4[[#This Row],[Price per Unit]]</f>
        <v>600</v>
      </c>
      <c r="J301">
        <v>600</v>
      </c>
      <c r="K301" s="8" t="str">
        <f>IF(Table4[[#This Row],[Total Amount]]=Table4[[#This Row],[Calculated Total]],"Correct","Check")</f>
        <v>Correct</v>
      </c>
      <c r="L301" s="8"/>
    </row>
    <row r="302" spans="1:12" hidden="1">
      <c r="A302" s="2">
        <v>358</v>
      </c>
      <c r="B302" s="1">
        <v>45062</v>
      </c>
      <c r="C302" t="s">
        <v>371</v>
      </c>
      <c r="D302" t="s">
        <v>13</v>
      </c>
      <c r="E302">
        <v>32</v>
      </c>
      <c r="F302" s="2" t="s">
        <v>11</v>
      </c>
      <c r="G302">
        <v>1</v>
      </c>
      <c r="H302">
        <v>300</v>
      </c>
      <c r="I302" s="8">
        <f>Table4[[#This Row],[Quantity]]*Table4[[#This Row],[Price per Unit]]</f>
        <v>300</v>
      </c>
      <c r="J302">
        <v>300</v>
      </c>
      <c r="K302" s="8" t="str">
        <f>IF(Table4[[#This Row],[Total Amount]]=Table4[[#This Row],[Calculated Total]],"Correct","Check")</f>
        <v>Correct</v>
      </c>
      <c r="L302" s="8"/>
    </row>
    <row r="303" spans="1:12">
      <c r="A303" s="2">
        <v>82</v>
      </c>
      <c r="B303" s="1">
        <v>45286</v>
      </c>
      <c r="C303" t="s">
        <v>95</v>
      </c>
      <c r="D303" t="s">
        <v>13</v>
      </c>
      <c r="E303">
        <v>32</v>
      </c>
      <c r="F303" s="2" t="s">
        <v>11</v>
      </c>
      <c r="G303">
        <v>4</v>
      </c>
      <c r="H303">
        <v>50</v>
      </c>
      <c r="I303" s="8">
        <f>Table4[[#This Row],[Quantity]]*Table4[[#This Row],[Price per Unit]]</f>
        <v>200</v>
      </c>
      <c r="J303">
        <v>200</v>
      </c>
      <c r="K303" s="8" t="str">
        <f>IF(Table4[[#This Row],[Total Amount]]=Table4[[#This Row],[Calculated Total]],"Correct","Check")</f>
        <v>Correct</v>
      </c>
      <c r="L303" s="8"/>
    </row>
    <row r="304" spans="1:12">
      <c r="A304" s="2">
        <v>471</v>
      </c>
      <c r="B304" s="1">
        <v>45008</v>
      </c>
      <c r="C304" t="s">
        <v>484</v>
      </c>
      <c r="D304" t="s">
        <v>10</v>
      </c>
      <c r="E304">
        <v>32</v>
      </c>
      <c r="F304" s="2" t="s">
        <v>14</v>
      </c>
      <c r="G304">
        <v>3</v>
      </c>
      <c r="H304">
        <v>50</v>
      </c>
      <c r="I304" s="8">
        <f>Table4[[#This Row],[Quantity]]*Table4[[#This Row],[Price per Unit]]</f>
        <v>150</v>
      </c>
      <c r="J304">
        <v>150</v>
      </c>
      <c r="K304" s="8" t="str">
        <f>IF(Table4[[#This Row],[Total Amount]]=Table4[[#This Row],[Calculated Total]],"Correct","Check")</f>
        <v>Correct</v>
      </c>
      <c r="L304" s="8"/>
    </row>
    <row r="305" spans="1:12">
      <c r="A305" s="2">
        <v>262</v>
      </c>
      <c r="B305" s="1">
        <v>45137</v>
      </c>
      <c r="C305" t="s">
        <v>275</v>
      </c>
      <c r="D305" t="s">
        <v>13</v>
      </c>
      <c r="E305">
        <v>32</v>
      </c>
      <c r="F305" s="2" t="s">
        <v>11</v>
      </c>
      <c r="G305">
        <v>4</v>
      </c>
      <c r="H305">
        <v>30</v>
      </c>
      <c r="I305" s="8">
        <f>Table4[[#This Row],[Quantity]]*Table4[[#This Row],[Price per Unit]]</f>
        <v>120</v>
      </c>
      <c r="J305">
        <v>120</v>
      </c>
      <c r="K305" s="8" t="str">
        <f>IF(Table4[[#This Row],[Total Amount]]=Table4[[#This Row],[Calculated Total]],"Correct","Check")</f>
        <v>Correct</v>
      </c>
      <c r="L305" s="8"/>
    </row>
    <row r="306" spans="1:12">
      <c r="A306" s="2">
        <v>311</v>
      </c>
      <c r="B306" s="1">
        <v>45265</v>
      </c>
      <c r="C306" t="s">
        <v>324</v>
      </c>
      <c r="D306" t="s">
        <v>13</v>
      </c>
      <c r="E306">
        <v>32</v>
      </c>
      <c r="F306" s="2" t="s">
        <v>11</v>
      </c>
      <c r="G306">
        <v>4</v>
      </c>
      <c r="H306">
        <v>25</v>
      </c>
      <c r="I306" s="8">
        <f>Table4[[#This Row],[Quantity]]*Table4[[#This Row],[Price per Unit]]</f>
        <v>100</v>
      </c>
      <c r="J306">
        <v>100</v>
      </c>
      <c r="K306" s="8" t="str">
        <f>IF(Table4[[#This Row],[Total Amount]]=Table4[[#This Row],[Calculated Total]],"Correct","Check")</f>
        <v>Correct</v>
      </c>
      <c r="L306" s="8"/>
    </row>
    <row r="307" spans="1:12">
      <c r="A307" s="2">
        <v>267</v>
      </c>
      <c r="B307" s="1">
        <v>45257</v>
      </c>
      <c r="C307" t="s">
        <v>280</v>
      </c>
      <c r="D307" t="s">
        <v>13</v>
      </c>
      <c r="E307">
        <v>32</v>
      </c>
      <c r="F307" s="2" t="s">
        <v>11</v>
      </c>
      <c r="G307">
        <v>3</v>
      </c>
      <c r="H307">
        <v>30</v>
      </c>
      <c r="I307" s="8">
        <f>Table4[[#This Row],[Quantity]]*Table4[[#This Row],[Price per Unit]]</f>
        <v>90</v>
      </c>
      <c r="J307">
        <v>90</v>
      </c>
      <c r="K307" s="8" t="str">
        <f>IF(Table4[[#This Row],[Total Amount]]=Table4[[#This Row],[Calculated Total]],"Correct","Check")</f>
        <v>Correct</v>
      </c>
      <c r="L307" s="8"/>
    </row>
    <row r="308" spans="1:12" hidden="1">
      <c r="A308" s="2">
        <v>95</v>
      </c>
      <c r="B308" s="1">
        <v>45254</v>
      </c>
      <c r="C308" t="s">
        <v>108</v>
      </c>
      <c r="D308" t="s">
        <v>13</v>
      </c>
      <c r="E308">
        <v>32</v>
      </c>
      <c r="F308" s="2" t="s">
        <v>14</v>
      </c>
      <c r="G308">
        <v>2</v>
      </c>
      <c r="H308">
        <v>30</v>
      </c>
      <c r="I308" s="8">
        <f>Table4[[#This Row],[Quantity]]*Table4[[#This Row],[Price per Unit]]</f>
        <v>60</v>
      </c>
      <c r="J308">
        <v>60</v>
      </c>
      <c r="K308" s="8" t="str">
        <f>IF(Table4[[#This Row],[Total Amount]]=Table4[[#This Row],[Calculated Total]],"Correct","Check")</f>
        <v>Correct</v>
      </c>
      <c r="L308" s="8"/>
    </row>
    <row r="309" spans="1:12" hidden="1">
      <c r="A309" s="2">
        <v>172</v>
      </c>
      <c r="B309" s="1">
        <v>45186</v>
      </c>
      <c r="C309" t="s">
        <v>185</v>
      </c>
      <c r="D309" t="s">
        <v>10</v>
      </c>
      <c r="E309">
        <v>32</v>
      </c>
      <c r="F309" s="2" t="s">
        <v>11</v>
      </c>
      <c r="G309">
        <v>2</v>
      </c>
      <c r="H309">
        <v>25</v>
      </c>
      <c r="I309" s="8">
        <f>Table4[[#This Row],[Quantity]]*Table4[[#This Row],[Price per Unit]]</f>
        <v>50</v>
      </c>
      <c r="J309">
        <v>50</v>
      </c>
      <c r="K309" s="8" t="str">
        <f>IF(Table4[[#This Row],[Total Amount]]=Table4[[#This Row],[Calculated Total]],"Correct","Check")</f>
        <v>Correct</v>
      </c>
      <c r="L309" s="8"/>
    </row>
    <row r="310" spans="1:12" hidden="1">
      <c r="A310" s="2">
        <v>851</v>
      </c>
      <c r="B310" s="1">
        <v>45177</v>
      </c>
      <c r="C310" t="s">
        <v>864</v>
      </c>
      <c r="D310" t="s">
        <v>10</v>
      </c>
      <c r="E310">
        <v>32</v>
      </c>
      <c r="F310" s="2" t="s">
        <v>16</v>
      </c>
      <c r="G310">
        <v>2</v>
      </c>
      <c r="H310">
        <v>25</v>
      </c>
      <c r="I310" s="8">
        <f>Table4[[#This Row],[Quantity]]*Table4[[#This Row],[Price per Unit]]</f>
        <v>50</v>
      </c>
      <c r="J310">
        <v>50</v>
      </c>
      <c r="K310" s="8" t="str">
        <f>IF(Table4[[#This Row],[Total Amount]]=Table4[[#This Row],[Calculated Total]],"Correct","Check")</f>
        <v>Correct</v>
      </c>
      <c r="L310" s="8"/>
    </row>
    <row r="311" spans="1:12" hidden="1">
      <c r="A311" s="2">
        <v>916</v>
      </c>
      <c r="B311" s="1">
        <v>45284</v>
      </c>
      <c r="C311" t="s">
        <v>929</v>
      </c>
      <c r="D311" t="s">
        <v>13</v>
      </c>
      <c r="E311">
        <v>32</v>
      </c>
      <c r="F311" s="2" t="s">
        <v>16</v>
      </c>
      <c r="G311">
        <v>1</v>
      </c>
      <c r="H311">
        <v>50</v>
      </c>
      <c r="I311" s="8">
        <f>Table4[[#This Row],[Quantity]]*Table4[[#This Row],[Price per Unit]]</f>
        <v>50</v>
      </c>
      <c r="J311">
        <v>50</v>
      </c>
      <c r="K311" s="8" t="str">
        <f>IF(Table4[[#This Row],[Total Amount]]=Table4[[#This Row],[Calculated Total]],"Correct","Check")</f>
        <v>Correct</v>
      </c>
      <c r="L311" s="8"/>
    </row>
    <row r="312" spans="1:12" hidden="1">
      <c r="A312" s="2">
        <v>375</v>
      </c>
      <c r="B312" s="1">
        <v>45186</v>
      </c>
      <c r="C312" t="s">
        <v>388</v>
      </c>
      <c r="D312" t="s">
        <v>10</v>
      </c>
      <c r="E312">
        <v>32</v>
      </c>
      <c r="F312" s="2" t="s">
        <v>14</v>
      </c>
      <c r="G312">
        <v>1</v>
      </c>
      <c r="H312">
        <v>50</v>
      </c>
      <c r="I312" s="8">
        <f>Table4[[#This Row],[Quantity]]*Table4[[#This Row],[Price per Unit]]</f>
        <v>50</v>
      </c>
      <c r="J312">
        <v>50</v>
      </c>
      <c r="K312" s="8" t="str">
        <f>IF(Table4[[#This Row],[Total Amount]]=Table4[[#This Row],[Calculated Total]],"Correct","Check")</f>
        <v>Correct</v>
      </c>
      <c r="L312" s="8"/>
    </row>
    <row r="313" spans="1:12" hidden="1">
      <c r="A313" s="2">
        <v>770</v>
      </c>
      <c r="B313" s="1">
        <v>45221</v>
      </c>
      <c r="C313" t="s">
        <v>783</v>
      </c>
      <c r="D313" t="s">
        <v>10</v>
      </c>
      <c r="E313">
        <v>32</v>
      </c>
      <c r="F313" s="2" t="s">
        <v>14</v>
      </c>
      <c r="G313">
        <v>1</v>
      </c>
      <c r="H313">
        <v>50</v>
      </c>
      <c r="I313" s="8">
        <f>Table4[[#This Row],[Quantity]]*Table4[[#This Row],[Price per Unit]]</f>
        <v>50</v>
      </c>
      <c r="J313">
        <v>50</v>
      </c>
      <c r="K313" s="8" t="str">
        <f>IF(Table4[[#This Row],[Total Amount]]=Table4[[#This Row],[Calculated Total]],"Correct","Check")</f>
        <v>Correct</v>
      </c>
      <c r="L313" s="8"/>
    </row>
    <row r="314" spans="1:12" hidden="1">
      <c r="A314" s="2">
        <v>849</v>
      </c>
      <c r="B314" s="1">
        <v>45050</v>
      </c>
      <c r="C314" t="s">
        <v>862</v>
      </c>
      <c r="D314" t="s">
        <v>10</v>
      </c>
      <c r="E314">
        <v>32</v>
      </c>
      <c r="F314" s="2" t="s">
        <v>14</v>
      </c>
      <c r="G314">
        <v>2</v>
      </c>
      <c r="H314">
        <v>25</v>
      </c>
      <c r="I314" s="8">
        <f>Table4[[#This Row],[Quantity]]*Table4[[#This Row],[Price per Unit]]</f>
        <v>50</v>
      </c>
      <c r="J314">
        <v>50</v>
      </c>
      <c r="K314" s="8" t="str">
        <f>IF(Table4[[#This Row],[Total Amount]]=Table4[[#This Row],[Calculated Total]],"Correct","Check")</f>
        <v>Correct</v>
      </c>
      <c r="L314" s="8"/>
    </row>
    <row r="315" spans="1:12" hidden="1">
      <c r="A315" s="2">
        <v>753</v>
      </c>
      <c r="B315" s="1">
        <v>44985</v>
      </c>
      <c r="C315" t="s">
        <v>766</v>
      </c>
      <c r="D315" t="s">
        <v>13</v>
      </c>
      <c r="E315">
        <v>32</v>
      </c>
      <c r="F315" s="2" t="s">
        <v>14</v>
      </c>
      <c r="G315">
        <v>1</v>
      </c>
      <c r="H315">
        <v>30</v>
      </c>
      <c r="I315" s="8">
        <f>Table4[[#This Row],[Quantity]]*Table4[[#This Row],[Price per Unit]]</f>
        <v>30</v>
      </c>
      <c r="J315">
        <v>30</v>
      </c>
      <c r="K315" s="8" t="str">
        <f>IF(Table4[[#This Row],[Total Amount]]=Table4[[#This Row],[Calculated Total]],"Correct","Check")</f>
        <v>Correct</v>
      </c>
      <c r="L315" s="8"/>
    </row>
    <row r="316" spans="1:12">
      <c r="A316" s="2">
        <v>124</v>
      </c>
      <c r="B316" s="1">
        <v>45226</v>
      </c>
      <c r="C316" t="s">
        <v>137</v>
      </c>
      <c r="D316" t="s">
        <v>10</v>
      </c>
      <c r="E316">
        <v>33</v>
      </c>
      <c r="F316" s="2" t="s">
        <v>14</v>
      </c>
      <c r="G316">
        <v>4</v>
      </c>
      <c r="H316">
        <v>500</v>
      </c>
      <c r="I316" s="8">
        <f>Table4[[#This Row],[Quantity]]*Table4[[#This Row],[Price per Unit]]</f>
        <v>2000</v>
      </c>
      <c r="J316">
        <v>2000</v>
      </c>
      <c r="K316" s="8" t="str">
        <f>IF(Table4[[#This Row],[Total Amount]]=Table4[[#This Row],[Calculated Total]],"Correct","Check")</f>
        <v>Correct</v>
      </c>
      <c r="L316" s="8"/>
    </row>
    <row r="317" spans="1:12">
      <c r="A317" s="2">
        <v>808</v>
      </c>
      <c r="B317" s="1">
        <v>45017</v>
      </c>
      <c r="C317" t="s">
        <v>821</v>
      </c>
      <c r="D317" t="s">
        <v>10</v>
      </c>
      <c r="E317">
        <v>33</v>
      </c>
      <c r="F317" s="2" t="s">
        <v>11</v>
      </c>
      <c r="G317">
        <v>4</v>
      </c>
      <c r="H317">
        <v>500</v>
      </c>
      <c r="I317" s="8">
        <f>Table4[[#This Row],[Quantity]]*Table4[[#This Row],[Price per Unit]]</f>
        <v>2000</v>
      </c>
      <c r="J317">
        <v>2000</v>
      </c>
      <c r="K317" s="8" t="str">
        <f>IF(Table4[[#This Row],[Total Amount]]=Table4[[#This Row],[Calculated Total]],"Correct","Check")</f>
        <v>Correct</v>
      </c>
      <c r="L317" s="8"/>
    </row>
    <row r="318" spans="1:12">
      <c r="A318" s="2">
        <v>828</v>
      </c>
      <c r="B318" s="1">
        <v>45269</v>
      </c>
      <c r="C318" t="s">
        <v>841</v>
      </c>
      <c r="D318" t="s">
        <v>13</v>
      </c>
      <c r="E318">
        <v>33</v>
      </c>
      <c r="F318" s="2" t="s">
        <v>16</v>
      </c>
      <c r="G318">
        <v>4</v>
      </c>
      <c r="H318">
        <v>300</v>
      </c>
      <c r="I318" s="8">
        <f>Table4[[#This Row],[Quantity]]*Table4[[#This Row],[Price per Unit]]</f>
        <v>1200</v>
      </c>
      <c r="J318">
        <v>1200</v>
      </c>
      <c r="K318" s="8" t="str">
        <f>IF(Table4[[#This Row],[Total Amount]]=Table4[[#This Row],[Calculated Total]],"Correct","Check")</f>
        <v>Correct</v>
      </c>
      <c r="L318" s="8"/>
    </row>
    <row r="319" spans="1:12" hidden="1">
      <c r="A319" s="2">
        <v>761</v>
      </c>
      <c r="B319" s="1">
        <v>45237</v>
      </c>
      <c r="C319" t="s">
        <v>774</v>
      </c>
      <c r="D319" t="s">
        <v>13</v>
      </c>
      <c r="E319">
        <v>33</v>
      </c>
      <c r="F319" s="2" t="s">
        <v>14</v>
      </c>
      <c r="G319">
        <v>1</v>
      </c>
      <c r="H319">
        <v>500</v>
      </c>
      <c r="I319" s="8">
        <f>Table4[[#This Row],[Quantity]]*Table4[[#This Row],[Price per Unit]]</f>
        <v>500</v>
      </c>
      <c r="J319">
        <v>500</v>
      </c>
      <c r="K319" s="8" t="str">
        <f>IF(Table4[[#This Row],[Total Amount]]=Table4[[#This Row],[Calculated Total]],"Correct","Check")</f>
        <v>Correct</v>
      </c>
      <c r="L319" s="8"/>
    </row>
    <row r="320" spans="1:12">
      <c r="A320" s="2">
        <v>576</v>
      </c>
      <c r="B320" s="1">
        <v>45264</v>
      </c>
      <c r="C320" t="s">
        <v>589</v>
      </c>
      <c r="D320" t="s">
        <v>13</v>
      </c>
      <c r="E320">
        <v>33</v>
      </c>
      <c r="F320" s="2" t="s">
        <v>11</v>
      </c>
      <c r="G320">
        <v>3</v>
      </c>
      <c r="H320">
        <v>50</v>
      </c>
      <c r="I320" s="8">
        <f>Table4[[#This Row],[Quantity]]*Table4[[#This Row],[Price per Unit]]</f>
        <v>150</v>
      </c>
      <c r="J320">
        <v>150</v>
      </c>
      <c r="K320" s="8" t="str">
        <f>IF(Table4[[#This Row],[Total Amount]]=Table4[[#This Row],[Calculated Total]],"Correct","Check")</f>
        <v>Correct</v>
      </c>
      <c r="L320" s="8"/>
    </row>
    <row r="321" spans="1:12" hidden="1">
      <c r="A321" s="2">
        <v>951</v>
      </c>
      <c r="B321" s="1">
        <v>45232</v>
      </c>
      <c r="C321" t="s">
        <v>964</v>
      </c>
      <c r="D321" t="s">
        <v>10</v>
      </c>
      <c r="E321">
        <v>33</v>
      </c>
      <c r="F321" s="2" t="s">
        <v>11</v>
      </c>
      <c r="G321">
        <v>2</v>
      </c>
      <c r="H321">
        <v>50</v>
      </c>
      <c r="I321" s="8">
        <f>Table4[[#This Row],[Quantity]]*Table4[[#This Row],[Price per Unit]]</f>
        <v>100</v>
      </c>
      <c r="J321">
        <v>100</v>
      </c>
      <c r="K321" s="8" t="str">
        <f>IF(Table4[[#This Row],[Total Amount]]=Table4[[#This Row],[Calculated Total]],"Correct","Check")</f>
        <v>Correct</v>
      </c>
      <c r="L321" s="8"/>
    </row>
    <row r="322" spans="1:12" hidden="1">
      <c r="A322" s="2">
        <v>526</v>
      </c>
      <c r="B322" s="1">
        <v>45270</v>
      </c>
      <c r="C322" t="s">
        <v>539</v>
      </c>
      <c r="D322" t="s">
        <v>10</v>
      </c>
      <c r="E322">
        <v>33</v>
      </c>
      <c r="F322" s="2" t="s">
        <v>14</v>
      </c>
      <c r="G322">
        <v>2</v>
      </c>
      <c r="H322">
        <v>50</v>
      </c>
      <c r="I322" s="8">
        <f>Table4[[#This Row],[Quantity]]*Table4[[#This Row],[Price per Unit]]</f>
        <v>100</v>
      </c>
      <c r="J322">
        <v>100</v>
      </c>
      <c r="K322" s="8" t="str">
        <f>IF(Table4[[#This Row],[Total Amount]]=Table4[[#This Row],[Calculated Total]],"Correct","Check")</f>
        <v>Correct</v>
      </c>
      <c r="L322" s="8"/>
    </row>
    <row r="323" spans="1:12">
      <c r="A323" s="2">
        <v>746</v>
      </c>
      <c r="B323" s="1">
        <v>44937</v>
      </c>
      <c r="C323" t="s">
        <v>759</v>
      </c>
      <c r="D323" t="s">
        <v>13</v>
      </c>
      <c r="E323">
        <v>33</v>
      </c>
      <c r="F323" s="2" t="s">
        <v>14</v>
      </c>
      <c r="G323">
        <v>3</v>
      </c>
      <c r="H323">
        <v>30</v>
      </c>
      <c r="I323" s="8">
        <f>Table4[[#This Row],[Quantity]]*Table4[[#This Row],[Price per Unit]]</f>
        <v>90</v>
      </c>
      <c r="J323">
        <v>90</v>
      </c>
      <c r="K323" s="8" t="str">
        <f>IF(Table4[[#This Row],[Total Amount]]=Table4[[#This Row],[Calculated Total]],"Correct","Check")</f>
        <v>Correct</v>
      </c>
      <c r="L323" s="8"/>
    </row>
    <row r="324" spans="1:12" hidden="1">
      <c r="A324" s="2">
        <v>127</v>
      </c>
      <c r="B324" s="1">
        <v>45131</v>
      </c>
      <c r="C324" t="s">
        <v>140</v>
      </c>
      <c r="D324" t="s">
        <v>13</v>
      </c>
      <c r="E324">
        <v>33</v>
      </c>
      <c r="F324" s="2" t="s">
        <v>14</v>
      </c>
      <c r="G324">
        <v>2</v>
      </c>
      <c r="H324">
        <v>25</v>
      </c>
      <c r="I324" s="8">
        <f>Table4[[#This Row],[Quantity]]*Table4[[#This Row],[Price per Unit]]</f>
        <v>50</v>
      </c>
      <c r="J324">
        <v>50</v>
      </c>
      <c r="K324" s="8" t="str">
        <f>IF(Table4[[#This Row],[Total Amount]]=Table4[[#This Row],[Calculated Total]],"Correct","Check")</f>
        <v>Correct</v>
      </c>
      <c r="L324" s="8"/>
    </row>
    <row r="325" spans="1:12" hidden="1">
      <c r="A325" s="2">
        <v>737</v>
      </c>
      <c r="B325" s="1">
        <v>45106</v>
      </c>
      <c r="C325" t="s">
        <v>750</v>
      </c>
      <c r="D325" t="s">
        <v>13</v>
      </c>
      <c r="E325">
        <v>33</v>
      </c>
      <c r="F325" s="2" t="s">
        <v>14</v>
      </c>
      <c r="G325">
        <v>1</v>
      </c>
      <c r="H325">
        <v>50</v>
      </c>
      <c r="I325" s="8">
        <f>Table4[[#This Row],[Quantity]]*Table4[[#This Row],[Price per Unit]]</f>
        <v>50</v>
      </c>
      <c r="J325">
        <v>50</v>
      </c>
      <c r="K325" s="8" t="str">
        <f>IF(Table4[[#This Row],[Total Amount]]=Table4[[#This Row],[Calculated Total]],"Correct","Check")</f>
        <v>Correct</v>
      </c>
      <c r="L325" s="8"/>
    </row>
    <row r="326" spans="1:12">
      <c r="A326" s="2">
        <v>166</v>
      </c>
      <c r="B326" s="1">
        <v>45018</v>
      </c>
      <c r="C326" t="s">
        <v>179</v>
      </c>
      <c r="D326" t="s">
        <v>10</v>
      </c>
      <c r="E326">
        <v>34</v>
      </c>
      <c r="F326" s="2" t="s">
        <v>14</v>
      </c>
      <c r="G326">
        <v>4</v>
      </c>
      <c r="H326">
        <v>500</v>
      </c>
      <c r="I326" s="8">
        <f>Table4[[#This Row],[Quantity]]*Table4[[#This Row],[Price per Unit]]</f>
        <v>2000</v>
      </c>
      <c r="J326">
        <v>2000</v>
      </c>
      <c r="K326" s="8" t="str">
        <f>IF(Table4[[#This Row],[Total Amount]]=Table4[[#This Row],[Calculated Total]],"Correct","Check")</f>
        <v>Correct</v>
      </c>
      <c r="L326" s="8"/>
    </row>
    <row r="327" spans="1:12">
      <c r="A327" s="2">
        <v>109</v>
      </c>
      <c r="B327" s="1">
        <v>45217</v>
      </c>
      <c r="C327" t="s">
        <v>122</v>
      </c>
      <c r="D327" t="s">
        <v>13</v>
      </c>
      <c r="E327">
        <v>34</v>
      </c>
      <c r="F327" s="2" t="s">
        <v>16</v>
      </c>
      <c r="G327">
        <v>4</v>
      </c>
      <c r="H327">
        <v>500</v>
      </c>
      <c r="I327" s="8">
        <f>Table4[[#This Row],[Quantity]]*Table4[[#This Row],[Price per Unit]]</f>
        <v>2000</v>
      </c>
      <c r="J327">
        <v>2000</v>
      </c>
      <c r="K327" s="8" t="str">
        <f>IF(Table4[[#This Row],[Total Amount]]=Table4[[#This Row],[Calculated Total]],"Correct","Check")</f>
        <v>Correct</v>
      </c>
      <c r="L327" s="8"/>
    </row>
    <row r="328" spans="1:12">
      <c r="A328" s="2">
        <v>743</v>
      </c>
      <c r="B328" s="1">
        <v>44942</v>
      </c>
      <c r="C328" t="s">
        <v>756</v>
      </c>
      <c r="D328" t="s">
        <v>13</v>
      </c>
      <c r="E328">
        <v>34</v>
      </c>
      <c r="F328" s="2" t="s">
        <v>11</v>
      </c>
      <c r="G328">
        <v>4</v>
      </c>
      <c r="H328">
        <v>500</v>
      </c>
      <c r="I328" s="8">
        <f>Table4[[#This Row],[Quantity]]*Table4[[#This Row],[Price per Unit]]</f>
        <v>2000</v>
      </c>
      <c r="J328">
        <v>2000</v>
      </c>
      <c r="K328" s="8" t="str">
        <f>IF(Table4[[#This Row],[Total Amount]]=Table4[[#This Row],[Calculated Total]],"Correct","Check")</f>
        <v>Correct</v>
      </c>
      <c r="L328" s="8"/>
    </row>
    <row r="329" spans="1:12">
      <c r="A329" s="2">
        <v>111</v>
      </c>
      <c r="B329" s="1">
        <v>45035</v>
      </c>
      <c r="C329" t="s">
        <v>124</v>
      </c>
      <c r="D329" t="s">
        <v>13</v>
      </c>
      <c r="E329">
        <v>34</v>
      </c>
      <c r="F329" s="2" t="s">
        <v>16</v>
      </c>
      <c r="G329">
        <v>3</v>
      </c>
      <c r="H329">
        <v>500</v>
      </c>
      <c r="I329" s="8">
        <f>Table4[[#This Row],[Quantity]]*Table4[[#This Row],[Price per Unit]]</f>
        <v>1500</v>
      </c>
      <c r="J329">
        <v>1500</v>
      </c>
      <c r="K329" s="8" t="str">
        <f>IF(Table4[[#This Row],[Total Amount]]=Table4[[#This Row],[Calculated Total]],"Correct","Check")</f>
        <v>Correct</v>
      </c>
      <c r="L329" s="8"/>
    </row>
    <row r="330" spans="1:12">
      <c r="A330" s="2">
        <v>506</v>
      </c>
      <c r="B330" s="1">
        <v>44982</v>
      </c>
      <c r="C330" t="s">
        <v>519</v>
      </c>
      <c r="D330" t="s">
        <v>10</v>
      </c>
      <c r="E330">
        <v>34</v>
      </c>
      <c r="F330" s="2" t="s">
        <v>11</v>
      </c>
      <c r="G330">
        <v>3</v>
      </c>
      <c r="H330">
        <v>500</v>
      </c>
      <c r="I330" s="8">
        <f>Table4[[#This Row],[Quantity]]*Table4[[#This Row],[Price per Unit]]</f>
        <v>1500</v>
      </c>
      <c r="J330">
        <v>1500</v>
      </c>
      <c r="K330" s="8" t="str">
        <f>IF(Table4[[#This Row],[Total Amount]]=Table4[[#This Row],[Calculated Total]],"Correct","Check")</f>
        <v>Correct</v>
      </c>
      <c r="L330" s="8"/>
    </row>
    <row r="331" spans="1:12">
      <c r="A331" s="2">
        <v>202</v>
      </c>
      <c r="B331" s="1">
        <v>45011</v>
      </c>
      <c r="C331" t="s">
        <v>215</v>
      </c>
      <c r="D331" t="s">
        <v>13</v>
      </c>
      <c r="E331">
        <v>34</v>
      </c>
      <c r="F331" s="2" t="s">
        <v>14</v>
      </c>
      <c r="G331">
        <v>4</v>
      </c>
      <c r="H331">
        <v>300</v>
      </c>
      <c r="I331" s="8">
        <f>Table4[[#This Row],[Quantity]]*Table4[[#This Row],[Price per Unit]]</f>
        <v>1200</v>
      </c>
      <c r="J331">
        <v>1200</v>
      </c>
      <c r="K331" s="8" t="str">
        <f>IF(Table4[[#This Row],[Total Amount]]=Table4[[#This Row],[Calculated Total]],"Correct","Check")</f>
        <v>Correct</v>
      </c>
      <c r="L331" s="8"/>
    </row>
    <row r="332" spans="1:12">
      <c r="A332" s="2">
        <v>308</v>
      </c>
      <c r="B332" s="1">
        <v>45143</v>
      </c>
      <c r="C332" t="s">
        <v>321</v>
      </c>
      <c r="D332" t="s">
        <v>13</v>
      </c>
      <c r="E332">
        <v>34</v>
      </c>
      <c r="F332" s="2" t="s">
        <v>11</v>
      </c>
      <c r="G332">
        <v>4</v>
      </c>
      <c r="H332">
        <v>300</v>
      </c>
      <c r="I332" s="8">
        <f>Table4[[#This Row],[Quantity]]*Table4[[#This Row],[Price per Unit]]</f>
        <v>1200</v>
      </c>
      <c r="J332">
        <v>1200</v>
      </c>
      <c r="K332" s="8" t="str">
        <f>IF(Table4[[#This Row],[Total Amount]]=Table4[[#This Row],[Calculated Total]],"Correct","Check")</f>
        <v>Correct</v>
      </c>
      <c r="L332" s="8"/>
    </row>
    <row r="333" spans="1:12">
      <c r="A333" s="2">
        <v>361</v>
      </c>
      <c r="B333" s="1">
        <v>45270</v>
      </c>
      <c r="C333" t="s">
        <v>374</v>
      </c>
      <c r="D333" t="s">
        <v>13</v>
      </c>
      <c r="E333">
        <v>34</v>
      </c>
      <c r="F333" s="2" t="s">
        <v>16</v>
      </c>
      <c r="G333">
        <v>4</v>
      </c>
      <c r="H333">
        <v>300</v>
      </c>
      <c r="I333" s="8">
        <f>Table4[[#This Row],[Quantity]]*Table4[[#This Row],[Price per Unit]]</f>
        <v>1200</v>
      </c>
      <c r="J333">
        <v>1200</v>
      </c>
      <c r="K333" s="8" t="str">
        <f>IF(Table4[[#This Row],[Total Amount]]=Table4[[#This Row],[Calculated Total]],"Correct","Check")</f>
        <v>Correct</v>
      </c>
      <c r="L333" s="8"/>
    </row>
    <row r="334" spans="1:12" hidden="1">
      <c r="A334" s="2">
        <v>104</v>
      </c>
      <c r="B334" s="1">
        <v>45088</v>
      </c>
      <c r="C334" t="s">
        <v>117</v>
      </c>
      <c r="D334" t="s">
        <v>13</v>
      </c>
      <c r="E334">
        <v>34</v>
      </c>
      <c r="F334" s="2" t="s">
        <v>11</v>
      </c>
      <c r="G334">
        <v>2</v>
      </c>
      <c r="H334">
        <v>500</v>
      </c>
      <c r="I334" s="8">
        <f>Table4[[#This Row],[Quantity]]*Table4[[#This Row],[Price per Unit]]</f>
        <v>1000</v>
      </c>
      <c r="J334">
        <v>1000</v>
      </c>
      <c r="K334" s="8" t="str">
        <f>IF(Table4[[#This Row],[Total Amount]]=Table4[[#This Row],[Calculated Total]],"Correct","Check")</f>
        <v>Correct</v>
      </c>
      <c r="L334" s="8"/>
    </row>
    <row r="335" spans="1:12">
      <c r="A335" s="2">
        <v>624</v>
      </c>
      <c r="B335" s="1">
        <v>45164</v>
      </c>
      <c r="C335" t="s">
        <v>637</v>
      </c>
      <c r="D335" t="s">
        <v>13</v>
      </c>
      <c r="E335">
        <v>34</v>
      </c>
      <c r="F335" s="2" t="s">
        <v>11</v>
      </c>
      <c r="G335">
        <v>3</v>
      </c>
      <c r="H335">
        <v>300</v>
      </c>
      <c r="I335" s="8">
        <f>Table4[[#This Row],[Quantity]]*Table4[[#This Row],[Price per Unit]]</f>
        <v>900</v>
      </c>
      <c r="J335">
        <v>900</v>
      </c>
      <c r="K335" s="8" t="str">
        <f>IF(Table4[[#This Row],[Total Amount]]=Table4[[#This Row],[Calculated Total]],"Correct","Check")</f>
        <v>Correct</v>
      </c>
      <c r="L335" s="8"/>
    </row>
    <row r="336" spans="1:12" hidden="1">
      <c r="A336" s="2">
        <v>784</v>
      </c>
      <c r="B336" s="1">
        <v>45234</v>
      </c>
      <c r="C336" t="s">
        <v>797</v>
      </c>
      <c r="D336" t="s">
        <v>13</v>
      </c>
      <c r="E336">
        <v>34</v>
      </c>
      <c r="F336" s="2" t="s">
        <v>16</v>
      </c>
      <c r="G336">
        <v>1</v>
      </c>
      <c r="H336">
        <v>500</v>
      </c>
      <c r="I336" s="8">
        <f>Table4[[#This Row],[Quantity]]*Table4[[#This Row],[Price per Unit]]</f>
        <v>500</v>
      </c>
      <c r="J336">
        <v>500</v>
      </c>
      <c r="K336" s="8" t="str">
        <f>IF(Table4[[#This Row],[Total Amount]]=Table4[[#This Row],[Calculated Total]],"Correct","Check")</f>
        <v>Correct</v>
      </c>
      <c r="L336" s="8"/>
    </row>
    <row r="337" spans="1:12" hidden="1">
      <c r="A337" s="2">
        <v>79</v>
      </c>
      <c r="B337" s="1">
        <v>45034</v>
      </c>
      <c r="C337" t="s">
        <v>92</v>
      </c>
      <c r="D337" t="s">
        <v>10</v>
      </c>
      <c r="E337">
        <v>34</v>
      </c>
      <c r="F337" s="2" t="s">
        <v>11</v>
      </c>
      <c r="G337">
        <v>1</v>
      </c>
      <c r="H337">
        <v>300</v>
      </c>
      <c r="I337" s="8">
        <f>Table4[[#This Row],[Quantity]]*Table4[[#This Row],[Price per Unit]]</f>
        <v>300</v>
      </c>
      <c r="J337">
        <v>300</v>
      </c>
      <c r="K337" s="8" t="str">
        <f>IF(Table4[[#This Row],[Total Amount]]=Table4[[#This Row],[Calculated Total]],"Correct","Check")</f>
        <v>Correct</v>
      </c>
      <c r="L337" s="8"/>
    </row>
    <row r="338" spans="1:12">
      <c r="A338" s="2">
        <v>208</v>
      </c>
      <c r="B338" s="1">
        <v>45203</v>
      </c>
      <c r="C338" t="s">
        <v>221</v>
      </c>
      <c r="D338" t="s">
        <v>13</v>
      </c>
      <c r="E338">
        <v>34</v>
      </c>
      <c r="F338" s="2" t="s">
        <v>16</v>
      </c>
      <c r="G338">
        <v>4</v>
      </c>
      <c r="H338">
        <v>50</v>
      </c>
      <c r="I338" s="8">
        <f>Table4[[#This Row],[Quantity]]*Table4[[#This Row],[Price per Unit]]</f>
        <v>200</v>
      </c>
      <c r="J338">
        <v>200</v>
      </c>
      <c r="K338" s="8" t="str">
        <f>IF(Table4[[#This Row],[Total Amount]]=Table4[[#This Row],[Calculated Total]],"Correct","Check")</f>
        <v>Correct</v>
      </c>
      <c r="L338" s="8"/>
    </row>
    <row r="339" spans="1:12">
      <c r="A339" s="2">
        <v>490</v>
      </c>
      <c r="B339" s="1">
        <v>44962</v>
      </c>
      <c r="C339" t="s">
        <v>503</v>
      </c>
      <c r="D339" t="s">
        <v>10</v>
      </c>
      <c r="E339">
        <v>34</v>
      </c>
      <c r="F339" s="2" t="s">
        <v>14</v>
      </c>
      <c r="G339">
        <v>3</v>
      </c>
      <c r="H339">
        <v>50</v>
      </c>
      <c r="I339" s="8">
        <f>Table4[[#This Row],[Quantity]]*Table4[[#This Row],[Price per Unit]]</f>
        <v>150</v>
      </c>
      <c r="J339">
        <v>150</v>
      </c>
      <c r="K339" s="8" t="str">
        <f>IF(Table4[[#This Row],[Total Amount]]=Table4[[#This Row],[Calculated Total]],"Correct","Check")</f>
        <v>Correct</v>
      </c>
      <c r="L339" s="8"/>
    </row>
    <row r="340" spans="1:12">
      <c r="A340" s="2">
        <v>1</v>
      </c>
      <c r="B340" s="1">
        <v>45254</v>
      </c>
      <c r="C340" t="s">
        <v>9</v>
      </c>
      <c r="D340" t="s">
        <v>10</v>
      </c>
      <c r="E340">
        <v>34</v>
      </c>
      <c r="F340" s="2" t="s">
        <v>11</v>
      </c>
      <c r="G340">
        <v>3</v>
      </c>
      <c r="H340">
        <v>50</v>
      </c>
      <c r="I340" s="8">
        <f>Table4[[#This Row],[Quantity]]*Table4[[#This Row],[Price per Unit]]</f>
        <v>150</v>
      </c>
      <c r="J340">
        <v>150</v>
      </c>
      <c r="K340" s="8" t="str">
        <f>IF(Table4[[#This Row],[Total Amount]]=Table4[[#This Row],[Calculated Total]],"Correct","Check")</f>
        <v>Correct</v>
      </c>
      <c r="L340" s="8"/>
    </row>
    <row r="341" spans="1:12">
      <c r="A341" s="2">
        <v>623</v>
      </c>
      <c r="B341" s="1">
        <v>44995</v>
      </c>
      <c r="C341" t="s">
        <v>636</v>
      </c>
      <c r="D341" t="s">
        <v>10</v>
      </c>
      <c r="E341">
        <v>34</v>
      </c>
      <c r="F341" s="2" t="s">
        <v>14</v>
      </c>
      <c r="G341">
        <v>3</v>
      </c>
      <c r="H341">
        <v>50</v>
      </c>
      <c r="I341" s="8">
        <f>Table4[[#This Row],[Quantity]]*Table4[[#This Row],[Price per Unit]]</f>
        <v>150</v>
      </c>
      <c r="J341">
        <v>150</v>
      </c>
      <c r="K341" s="8" t="str">
        <f>IF(Table4[[#This Row],[Total Amount]]=Table4[[#This Row],[Calculated Total]],"Correct","Check")</f>
        <v>Correct</v>
      </c>
      <c r="L341" s="8"/>
    </row>
    <row r="342" spans="1:12" hidden="1">
      <c r="A342" s="2">
        <v>53</v>
      </c>
      <c r="B342" s="1">
        <v>45120</v>
      </c>
      <c r="C342" t="s">
        <v>66</v>
      </c>
      <c r="D342" t="s">
        <v>10</v>
      </c>
      <c r="E342">
        <v>34</v>
      </c>
      <c r="F342" s="2" t="s">
        <v>16</v>
      </c>
      <c r="G342">
        <v>2</v>
      </c>
      <c r="H342">
        <v>50</v>
      </c>
      <c r="I342" s="8">
        <f>Table4[[#This Row],[Quantity]]*Table4[[#This Row],[Price per Unit]]</f>
        <v>100</v>
      </c>
      <c r="J342">
        <v>100</v>
      </c>
      <c r="K342" s="8" t="str">
        <f>IF(Table4[[#This Row],[Total Amount]]=Table4[[#This Row],[Calculated Total]],"Correct","Check")</f>
        <v>Correct</v>
      </c>
      <c r="L342" s="8"/>
    </row>
    <row r="343" spans="1:12" hidden="1">
      <c r="A343" s="2">
        <v>652</v>
      </c>
      <c r="B343" s="1">
        <v>45047</v>
      </c>
      <c r="C343" t="s">
        <v>665</v>
      </c>
      <c r="D343" t="s">
        <v>13</v>
      </c>
      <c r="E343">
        <v>34</v>
      </c>
      <c r="F343" s="2" t="s">
        <v>11</v>
      </c>
      <c r="G343">
        <v>2</v>
      </c>
      <c r="H343">
        <v>50</v>
      </c>
      <c r="I343" s="8">
        <f>Table4[[#This Row],[Quantity]]*Table4[[#This Row],[Price per Unit]]</f>
        <v>100</v>
      </c>
      <c r="J343">
        <v>100</v>
      </c>
      <c r="K343" s="8" t="str">
        <f>IF(Table4[[#This Row],[Total Amount]]=Table4[[#This Row],[Calculated Total]],"Correct","Check")</f>
        <v>Correct</v>
      </c>
      <c r="L343" s="8"/>
    </row>
    <row r="344" spans="1:12" hidden="1">
      <c r="A344" s="2">
        <v>672</v>
      </c>
      <c r="B344" s="1">
        <v>45139</v>
      </c>
      <c r="C344" t="s">
        <v>685</v>
      </c>
      <c r="D344" t="s">
        <v>13</v>
      </c>
      <c r="E344">
        <v>34</v>
      </c>
      <c r="F344" s="2" t="s">
        <v>11</v>
      </c>
      <c r="G344">
        <v>2</v>
      </c>
      <c r="H344">
        <v>50</v>
      </c>
      <c r="I344" s="8">
        <f>Table4[[#This Row],[Quantity]]*Table4[[#This Row],[Price per Unit]]</f>
        <v>100</v>
      </c>
      <c r="J344">
        <v>100</v>
      </c>
      <c r="K344" s="8" t="str">
        <f>IF(Table4[[#This Row],[Total Amount]]=Table4[[#This Row],[Calculated Total]],"Correct","Check")</f>
        <v>Correct</v>
      </c>
      <c r="L344" s="8"/>
    </row>
    <row r="345" spans="1:12" hidden="1">
      <c r="A345" s="2">
        <v>703</v>
      </c>
      <c r="B345" s="1">
        <v>45011</v>
      </c>
      <c r="C345" t="s">
        <v>716</v>
      </c>
      <c r="D345" t="s">
        <v>10</v>
      </c>
      <c r="E345">
        <v>34</v>
      </c>
      <c r="F345" s="2" t="s">
        <v>16</v>
      </c>
      <c r="G345">
        <v>2</v>
      </c>
      <c r="H345">
        <v>50</v>
      </c>
      <c r="I345" s="8">
        <f>Table4[[#This Row],[Quantity]]*Table4[[#This Row],[Price per Unit]]</f>
        <v>100</v>
      </c>
      <c r="J345">
        <v>100</v>
      </c>
      <c r="K345" s="8" t="str">
        <f>IF(Table4[[#This Row],[Total Amount]]=Table4[[#This Row],[Calculated Total]],"Correct","Check")</f>
        <v>Correct</v>
      </c>
      <c r="L345" s="8"/>
    </row>
    <row r="346" spans="1:12" hidden="1">
      <c r="A346" s="2">
        <v>991</v>
      </c>
      <c r="B346" s="1">
        <v>45286</v>
      </c>
      <c r="C346" t="s">
        <v>1004</v>
      </c>
      <c r="D346" t="s">
        <v>13</v>
      </c>
      <c r="E346">
        <v>34</v>
      </c>
      <c r="F346" s="2" t="s">
        <v>14</v>
      </c>
      <c r="G346">
        <v>2</v>
      </c>
      <c r="H346">
        <v>50</v>
      </c>
      <c r="I346" s="8">
        <f>Table4[[#This Row],[Quantity]]*Table4[[#This Row],[Price per Unit]]</f>
        <v>100</v>
      </c>
      <c r="J346">
        <v>100</v>
      </c>
      <c r="K346" s="8" t="str">
        <f>IF(Table4[[#This Row],[Total Amount]]=Table4[[#This Row],[Calculated Total]],"Correct","Check")</f>
        <v>Correct</v>
      </c>
      <c r="L346" s="8"/>
    </row>
    <row r="347" spans="1:12">
      <c r="A347" s="2">
        <v>713</v>
      </c>
      <c r="B347" s="1">
        <v>44940</v>
      </c>
      <c r="C347" t="s">
        <v>726</v>
      </c>
      <c r="D347" t="s">
        <v>10</v>
      </c>
      <c r="E347">
        <v>34</v>
      </c>
      <c r="F347" s="2" t="s">
        <v>11</v>
      </c>
      <c r="G347">
        <v>3</v>
      </c>
      <c r="H347">
        <v>25</v>
      </c>
      <c r="I347" s="8">
        <f>Table4[[#This Row],[Quantity]]*Table4[[#This Row],[Price per Unit]]</f>
        <v>75</v>
      </c>
      <c r="J347">
        <v>75</v>
      </c>
      <c r="K347" s="8" t="str">
        <f>IF(Table4[[#This Row],[Total Amount]]=Table4[[#This Row],[Calculated Total]],"Correct","Check")</f>
        <v>Correct</v>
      </c>
      <c r="L347" s="8"/>
    </row>
    <row r="348" spans="1:12" hidden="1">
      <c r="A348" s="2">
        <v>41</v>
      </c>
      <c r="B348" s="1">
        <v>44979</v>
      </c>
      <c r="C348" t="s">
        <v>54</v>
      </c>
      <c r="D348" t="s">
        <v>10</v>
      </c>
      <c r="E348">
        <v>34</v>
      </c>
      <c r="F348" s="2" t="s">
        <v>14</v>
      </c>
      <c r="G348">
        <v>2</v>
      </c>
      <c r="H348">
        <v>25</v>
      </c>
      <c r="I348" s="8">
        <f>Table4[[#This Row],[Quantity]]*Table4[[#This Row],[Price per Unit]]</f>
        <v>50</v>
      </c>
      <c r="J348">
        <v>50</v>
      </c>
      <c r="K348" s="8" t="str">
        <f>IF(Table4[[#This Row],[Total Amount]]=Table4[[#This Row],[Calculated Total]],"Correct","Check")</f>
        <v>Correct</v>
      </c>
      <c r="L348" s="8"/>
    </row>
    <row r="349" spans="1:12" hidden="1">
      <c r="A349" s="2">
        <v>890</v>
      </c>
      <c r="B349" s="1">
        <v>45280</v>
      </c>
      <c r="C349" t="s">
        <v>903</v>
      </c>
      <c r="D349" t="s">
        <v>10</v>
      </c>
      <c r="E349">
        <v>34</v>
      </c>
      <c r="F349" s="2" t="s">
        <v>16</v>
      </c>
      <c r="G349">
        <v>2</v>
      </c>
      <c r="H349">
        <v>25</v>
      </c>
      <c r="I349" s="8">
        <f>Table4[[#This Row],[Quantity]]*Table4[[#This Row],[Price per Unit]]</f>
        <v>50</v>
      </c>
      <c r="J349">
        <v>50</v>
      </c>
      <c r="K349" s="8" t="str">
        <f>IF(Table4[[#This Row],[Total Amount]]=Table4[[#This Row],[Calculated Total]],"Correct","Check")</f>
        <v>Correct</v>
      </c>
      <c r="L349" s="8"/>
    </row>
    <row r="350" spans="1:12" hidden="1">
      <c r="A350" s="2">
        <v>935</v>
      </c>
      <c r="B350" s="1">
        <v>45178</v>
      </c>
      <c r="C350" t="s">
        <v>948</v>
      </c>
      <c r="D350" t="s">
        <v>13</v>
      </c>
      <c r="E350">
        <v>34</v>
      </c>
      <c r="F350" s="2" t="s">
        <v>11</v>
      </c>
      <c r="G350">
        <v>1</v>
      </c>
      <c r="H350">
        <v>50</v>
      </c>
      <c r="I350" s="8">
        <f>Table4[[#This Row],[Quantity]]*Table4[[#This Row],[Price per Unit]]</f>
        <v>50</v>
      </c>
      <c r="J350">
        <v>50</v>
      </c>
      <c r="K350" s="8" t="str">
        <f>IF(Table4[[#This Row],[Total Amount]]=Table4[[#This Row],[Calculated Total]],"Correct","Check")</f>
        <v>Correct</v>
      </c>
      <c r="L350" s="8"/>
    </row>
    <row r="351" spans="1:12" hidden="1">
      <c r="A351" s="2">
        <v>763</v>
      </c>
      <c r="B351" s="1">
        <v>44985</v>
      </c>
      <c r="C351" t="s">
        <v>776</v>
      </c>
      <c r="D351" t="s">
        <v>10</v>
      </c>
      <c r="E351">
        <v>34</v>
      </c>
      <c r="F351" s="2" t="s">
        <v>14</v>
      </c>
      <c r="G351">
        <v>2</v>
      </c>
      <c r="H351">
        <v>25</v>
      </c>
      <c r="I351" s="8">
        <f>Table4[[#This Row],[Quantity]]*Table4[[#This Row],[Price per Unit]]</f>
        <v>50</v>
      </c>
      <c r="J351">
        <v>50</v>
      </c>
      <c r="K351" s="8" t="str">
        <f>IF(Table4[[#This Row],[Total Amount]]=Table4[[#This Row],[Calculated Total]],"Correct","Check")</f>
        <v>Correct</v>
      </c>
      <c r="L351" s="8"/>
    </row>
    <row r="352" spans="1:12" hidden="1">
      <c r="A352" s="2">
        <v>617</v>
      </c>
      <c r="B352" s="1">
        <v>45164</v>
      </c>
      <c r="C352" t="s">
        <v>630</v>
      </c>
      <c r="D352" t="s">
        <v>10</v>
      </c>
      <c r="E352">
        <v>34</v>
      </c>
      <c r="F352" s="2" t="s">
        <v>16</v>
      </c>
      <c r="G352">
        <v>1</v>
      </c>
      <c r="H352">
        <v>30</v>
      </c>
      <c r="I352" s="8">
        <f>Table4[[#This Row],[Quantity]]*Table4[[#This Row],[Price per Unit]]</f>
        <v>30</v>
      </c>
      <c r="J352">
        <v>30</v>
      </c>
      <c r="K352" s="8" t="str">
        <f>IF(Table4[[#This Row],[Total Amount]]=Table4[[#This Row],[Calculated Total]],"Correct","Check")</f>
        <v>Correct</v>
      </c>
      <c r="L352" s="8"/>
    </row>
    <row r="353" spans="1:12" hidden="1">
      <c r="A353" s="2">
        <v>733</v>
      </c>
      <c r="B353" s="1">
        <v>45167</v>
      </c>
      <c r="C353" t="s">
        <v>746</v>
      </c>
      <c r="D353" t="s">
        <v>10</v>
      </c>
      <c r="E353">
        <v>34</v>
      </c>
      <c r="F353" s="2" t="s">
        <v>11</v>
      </c>
      <c r="G353">
        <v>1</v>
      </c>
      <c r="H353">
        <v>30</v>
      </c>
      <c r="I353" s="8">
        <f>Table4[[#This Row],[Quantity]]*Table4[[#This Row],[Price per Unit]]</f>
        <v>30</v>
      </c>
      <c r="J353">
        <v>30</v>
      </c>
      <c r="K353" s="8" t="str">
        <f>IF(Table4[[#This Row],[Total Amount]]=Table4[[#This Row],[Calculated Total]],"Correct","Check")</f>
        <v>Correct</v>
      </c>
      <c r="L353" s="8"/>
    </row>
    <row r="354" spans="1:12">
      <c r="A354" s="2">
        <v>93</v>
      </c>
      <c r="B354" s="1">
        <v>45121</v>
      </c>
      <c r="C354" t="s">
        <v>106</v>
      </c>
      <c r="D354" t="s">
        <v>13</v>
      </c>
      <c r="E354">
        <v>35</v>
      </c>
      <c r="F354" s="2" t="s">
        <v>11</v>
      </c>
      <c r="G354">
        <v>4</v>
      </c>
      <c r="H354">
        <v>500</v>
      </c>
      <c r="I354" s="8">
        <f>Table4[[#This Row],[Quantity]]*Table4[[#This Row],[Price per Unit]]</f>
        <v>2000</v>
      </c>
      <c r="J354">
        <v>2000</v>
      </c>
      <c r="K354" s="8" t="str">
        <f>IF(Table4[[#This Row],[Total Amount]]=Table4[[#This Row],[Calculated Total]],"Correct","Check")</f>
        <v>Correct</v>
      </c>
      <c r="L354" s="8"/>
    </row>
    <row r="355" spans="1:12">
      <c r="A355" s="2">
        <v>193</v>
      </c>
      <c r="B355" s="1">
        <v>44970</v>
      </c>
      <c r="C355" t="s">
        <v>206</v>
      </c>
      <c r="D355" t="s">
        <v>10</v>
      </c>
      <c r="E355">
        <v>35</v>
      </c>
      <c r="F355" s="2" t="s">
        <v>11</v>
      </c>
      <c r="G355">
        <v>3</v>
      </c>
      <c r="H355">
        <v>500</v>
      </c>
      <c r="I355" s="8">
        <f>Table4[[#This Row],[Quantity]]*Table4[[#This Row],[Price per Unit]]</f>
        <v>1500</v>
      </c>
      <c r="J355">
        <v>1500</v>
      </c>
      <c r="K355" s="8" t="str">
        <f>IF(Table4[[#This Row],[Total Amount]]=Table4[[#This Row],[Calculated Total]],"Correct","Check")</f>
        <v>Correct</v>
      </c>
      <c r="L355" s="8"/>
    </row>
    <row r="356" spans="1:12">
      <c r="A356" s="2">
        <v>142</v>
      </c>
      <c r="B356" s="1">
        <v>44959</v>
      </c>
      <c r="C356" t="s">
        <v>155</v>
      </c>
      <c r="D356" t="s">
        <v>10</v>
      </c>
      <c r="E356">
        <v>35</v>
      </c>
      <c r="F356" s="2" t="s">
        <v>16</v>
      </c>
      <c r="G356">
        <v>4</v>
      </c>
      <c r="H356">
        <v>300</v>
      </c>
      <c r="I356" s="8">
        <f>Table4[[#This Row],[Quantity]]*Table4[[#This Row],[Price per Unit]]</f>
        <v>1200</v>
      </c>
      <c r="J356">
        <v>1200</v>
      </c>
      <c r="K356" s="8" t="str">
        <f>IF(Table4[[#This Row],[Total Amount]]=Table4[[#This Row],[Calculated Total]],"Correct","Check")</f>
        <v>Correct</v>
      </c>
      <c r="L356" s="8"/>
    </row>
    <row r="357" spans="1:12">
      <c r="A357" s="2">
        <v>437</v>
      </c>
      <c r="B357" s="1">
        <v>45206</v>
      </c>
      <c r="C357" t="s">
        <v>450</v>
      </c>
      <c r="D357" t="s">
        <v>13</v>
      </c>
      <c r="E357">
        <v>35</v>
      </c>
      <c r="F357" s="2" t="s">
        <v>16</v>
      </c>
      <c r="G357">
        <v>4</v>
      </c>
      <c r="H357">
        <v>300</v>
      </c>
      <c r="I357" s="8">
        <f>Table4[[#This Row],[Quantity]]*Table4[[#This Row],[Price per Unit]]</f>
        <v>1200</v>
      </c>
      <c r="J357">
        <v>1200</v>
      </c>
      <c r="K357" s="8" t="str">
        <f>IF(Table4[[#This Row],[Total Amount]]=Table4[[#This Row],[Calculated Total]],"Correct","Check")</f>
        <v>Correct</v>
      </c>
      <c r="L357" s="8"/>
    </row>
    <row r="358" spans="1:12">
      <c r="A358" s="2">
        <v>928</v>
      </c>
      <c r="B358" s="1">
        <v>45021</v>
      </c>
      <c r="C358" t="s">
        <v>941</v>
      </c>
      <c r="D358" t="s">
        <v>13</v>
      </c>
      <c r="E358">
        <v>35</v>
      </c>
      <c r="F358" s="2" t="s">
        <v>14</v>
      </c>
      <c r="G358">
        <v>4</v>
      </c>
      <c r="H358">
        <v>300</v>
      </c>
      <c r="I358" s="8">
        <f>Table4[[#This Row],[Quantity]]*Table4[[#This Row],[Price per Unit]]</f>
        <v>1200</v>
      </c>
      <c r="J358">
        <v>1200</v>
      </c>
      <c r="K358" s="8" t="str">
        <f>IF(Table4[[#This Row],[Total Amount]]=Table4[[#This Row],[Calculated Total]],"Correct","Check")</f>
        <v>Correct</v>
      </c>
      <c r="L358" s="8"/>
    </row>
    <row r="359" spans="1:12">
      <c r="A359" s="2">
        <v>582</v>
      </c>
      <c r="B359" s="1">
        <v>45244</v>
      </c>
      <c r="C359" t="s">
        <v>595</v>
      </c>
      <c r="D359" t="s">
        <v>10</v>
      </c>
      <c r="E359">
        <v>35</v>
      </c>
      <c r="F359" s="2" t="s">
        <v>14</v>
      </c>
      <c r="G359">
        <v>3</v>
      </c>
      <c r="H359">
        <v>300</v>
      </c>
      <c r="I359" s="8">
        <f>Table4[[#This Row],[Quantity]]*Table4[[#This Row],[Price per Unit]]</f>
        <v>900</v>
      </c>
      <c r="J359">
        <v>900</v>
      </c>
      <c r="K359" s="8" t="str">
        <f>IF(Table4[[#This Row],[Total Amount]]=Table4[[#This Row],[Calculated Total]],"Correct","Check")</f>
        <v>Correct</v>
      </c>
      <c r="L359" s="8"/>
    </row>
    <row r="360" spans="1:12">
      <c r="A360" s="2">
        <v>806</v>
      </c>
      <c r="B360" s="1">
        <v>45005</v>
      </c>
      <c r="C360" t="s">
        <v>819</v>
      </c>
      <c r="D360" t="s">
        <v>13</v>
      </c>
      <c r="E360">
        <v>35</v>
      </c>
      <c r="F360" s="2" t="s">
        <v>11</v>
      </c>
      <c r="G360">
        <v>3</v>
      </c>
      <c r="H360">
        <v>300</v>
      </c>
      <c r="I360" s="8">
        <f>Table4[[#This Row],[Quantity]]*Table4[[#This Row],[Price per Unit]]</f>
        <v>900</v>
      </c>
      <c r="J360">
        <v>900</v>
      </c>
      <c r="K360" s="8" t="str">
        <f>IF(Table4[[#This Row],[Total Amount]]=Table4[[#This Row],[Calculated Total]],"Correct","Check")</f>
        <v>Correct</v>
      </c>
      <c r="L360" s="8"/>
    </row>
    <row r="361" spans="1:12" hidden="1">
      <c r="A361" s="2">
        <v>348</v>
      </c>
      <c r="B361" s="1">
        <v>45263</v>
      </c>
      <c r="C361" t="s">
        <v>361</v>
      </c>
      <c r="D361" t="s">
        <v>13</v>
      </c>
      <c r="E361">
        <v>35</v>
      </c>
      <c r="F361" s="2" t="s">
        <v>16</v>
      </c>
      <c r="G361">
        <v>2</v>
      </c>
      <c r="H361">
        <v>300</v>
      </c>
      <c r="I361" s="8">
        <f>Table4[[#This Row],[Quantity]]*Table4[[#This Row],[Price per Unit]]</f>
        <v>600</v>
      </c>
      <c r="J361">
        <v>600</v>
      </c>
      <c r="K361" s="8" t="str">
        <f>IF(Table4[[#This Row],[Total Amount]]=Table4[[#This Row],[Calculated Total]],"Correct","Check")</f>
        <v>Correct</v>
      </c>
      <c r="L361" s="8"/>
    </row>
    <row r="362" spans="1:12" hidden="1">
      <c r="A362" s="2">
        <v>781</v>
      </c>
      <c r="B362" s="1">
        <v>45283</v>
      </c>
      <c r="C362" t="s">
        <v>794</v>
      </c>
      <c r="D362" t="s">
        <v>10</v>
      </c>
      <c r="E362">
        <v>35</v>
      </c>
      <c r="F362" s="2" t="s">
        <v>11</v>
      </c>
      <c r="G362">
        <v>1</v>
      </c>
      <c r="H362">
        <v>500</v>
      </c>
      <c r="I362" s="8">
        <f>Table4[[#This Row],[Quantity]]*Table4[[#This Row],[Price per Unit]]</f>
        <v>500</v>
      </c>
      <c r="J362">
        <v>500</v>
      </c>
      <c r="K362" s="8" t="str">
        <f>IF(Table4[[#This Row],[Total Amount]]=Table4[[#This Row],[Calculated Total]],"Correct","Check")</f>
        <v>Correct</v>
      </c>
      <c r="L362" s="8"/>
    </row>
    <row r="363" spans="1:12">
      <c r="A363" s="2">
        <v>217</v>
      </c>
      <c r="B363" s="1">
        <v>45151</v>
      </c>
      <c r="C363" t="s">
        <v>230</v>
      </c>
      <c r="D363" t="s">
        <v>13</v>
      </c>
      <c r="E363">
        <v>35</v>
      </c>
      <c r="F363" s="2" t="s">
        <v>16</v>
      </c>
      <c r="G363">
        <v>4</v>
      </c>
      <c r="H363">
        <v>50</v>
      </c>
      <c r="I363" s="8">
        <f>Table4[[#This Row],[Quantity]]*Table4[[#This Row],[Price per Unit]]</f>
        <v>200</v>
      </c>
      <c r="J363">
        <v>200</v>
      </c>
      <c r="K363" s="8" t="str">
        <f>IF(Table4[[#This Row],[Total Amount]]=Table4[[#This Row],[Calculated Total]],"Correct","Check")</f>
        <v>Correct</v>
      </c>
      <c r="L363" s="8"/>
    </row>
    <row r="364" spans="1:12">
      <c r="A364" s="2">
        <v>529</v>
      </c>
      <c r="B364" s="1">
        <v>45147</v>
      </c>
      <c r="C364" t="s">
        <v>542</v>
      </c>
      <c r="D364" t="s">
        <v>13</v>
      </c>
      <c r="E364">
        <v>35</v>
      </c>
      <c r="F364" s="2" t="s">
        <v>14</v>
      </c>
      <c r="G364">
        <v>3</v>
      </c>
      <c r="H364">
        <v>50</v>
      </c>
      <c r="I364" s="8">
        <f>Table4[[#This Row],[Quantity]]*Table4[[#This Row],[Price per Unit]]</f>
        <v>150</v>
      </c>
      <c r="J364">
        <v>150</v>
      </c>
      <c r="K364" s="8" t="str">
        <f>IF(Table4[[#This Row],[Total Amount]]=Table4[[#This Row],[Calculated Total]],"Correct","Check")</f>
        <v>Correct</v>
      </c>
      <c r="L364" s="8"/>
    </row>
    <row r="365" spans="1:12">
      <c r="A365" s="2">
        <v>844</v>
      </c>
      <c r="B365" s="1">
        <v>45211</v>
      </c>
      <c r="C365" t="s">
        <v>857</v>
      </c>
      <c r="D365" t="s">
        <v>10</v>
      </c>
      <c r="E365">
        <v>35</v>
      </c>
      <c r="F365" s="2" t="s">
        <v>14</v>
      </c>
      <c r="G365">
        <v>3</v>
      </c>
      <c r="H365">
        <v>50</v>
      </c>
      <c r="I365" s="8">
        <f>Table4[[#This Row],[Quantity]]*Table4[[#This Row],[Price per Unit]]</f>
        <v>150</v>
      </c>
      <c r="J365">
        <v>150</v>
      </c>
      <c r="K365" s="8" t="str">
        <f>IF(Table4[[#This Row],[Total Amount]]=Table4[[#This Row],[Calculated Total]],"Correct","Check")</f>
        <v>Correct</v>
      </c>
      <c r="L365" s="8"/>
    </row>
    <row r="366" spans="1:12">
      <c r="A366" s="2">
        <v>23</v>
      </c>
      <c r="B366" s="1">
        <v>45028</v>
      </c>
      <c r="C366" t="s">
        <v>36</v>
      </c>
      <c r="D366" t="s">
        <v>13</v>
      </c>
      <c r="E366">
        <v>35</v>
      </c>
      <c r="F366" s="2" t="s">
        <v>14</v>
      </c>
      <c r="G366">
        <v>4</v>
      </c>
      <c r="H366">
        <v>30</v>
      </c>
      <c r="I366" s="8">
        <f>Table4[[#This Row],[Quantity]]*Table4[[#This Row],[Price per Unit]]</f>
        <v>120</v>
      </c>
      <c r="J366">
        <v>120</v>
      </c>
      <c r="K366" s="8" t="str">
        <f>IF(Table4[[#This Row],[Total Amount]]=Table4[[#This Row],[Calculated Total]],"Correct","Check")</f>
        <v>Correct</v>
      </c>
      <c r="L366" s="8"/>
    </row>
    <row r="367" spans="1:12">
      <c r="A367" s="2">
        <v>645</v>
      </c>
      <c r="B367" s="1">
        <v>45247</v>
      </c>
      <c r="C367" t="s">
        <v>658</v>
      </c>
      <c r="D367" t="s">
        <v>13</v>
      </c>
      <c r="E367">
        <v>35</v>
      </c>
      <c r="F367" s="2" t="s">
        <v>16</v>
      </c>
      <c r="G367">
        <v>4</v>
      </c>
      <c r="H367">
        <v>30</v>
      </c>
      <c r="I367" s="8">
        <f>Table4[[#This Row],[Quantity]]*Table4[[#This Row],[Price per Unit]]</f>
        <v>120</v>
      </c>
      <c r="J367">
        <v>120</v>
      </c>
      <c r="K367" s="8" t="str">
        <f>IF(Table4[[#This Row],[Total Amount]]=Table4[[#This Row],[Calculated Total]],"Correct","Check")</f>
        <v>Correct</v>
      </c>
      <c r="L367" s="8"/>
    </row>
    <row r="368" spans="1:12" hidden="1">
      <c r="A368" s="2">
        <v>819</v>
      </c>
      <c r="B368" s="1">
        <v>45092</v>
      </c>
      <c r="C368" t="s">
        <v>832</v>
      </c>
      <c r="D368" t="s">
        <v>13</v>
      </c>
      <c r="E368">
        <v>35</v>
      </c>
      <c r="F368" s="2" t="s">
        <v>11</v>
      </c>
      <c r="G368">
        <v>2</v>
      </c>
      <c r="H368">
        <v>50</v>
      </c>
      <c r="I368" s="8">
        <f>Table4[[#This Row],[Quantity]]*Table4[[#This Row],[Price per Unit]]</f>
        <v>100</v>
      </c>
      <c r="J368">
        <v>100</v>
      </c>
      <c r="K368" s="8" t="str">
        <f>IF(Table4[[#This Row],[Total Amount]]=Table4[[#This Row],[Calculated Total]],"Correct","Check")</f>
        <v>Correct</v>
      </c>
      <c r="L368" s="8"/>
    </row>
    <row r="369" spans="1:12">
      <c r="A369" s="2">
        <v>776</v>
      </c>
      <c r="B369" s="1">
        <v>45230</v>
      </c>
      <c r="C369" t="s">
        <v>789</v>
      </c>
      <c r="D369" t="s">
        <v>10</v>
      </c>
      <c r="E369">
        <v>35</v>
      </c>
      <c r="F369" s="2" t="s">
        <v>14</v>
      </c>
      <c r="G369">
        <v>3</v>
      </c>
      <c r="H369">
        <v>30</v>
      </c>
      <c r="I369" s="8">
        <f>Table4[[#This Row],[Quantity]]*Table4[[#This Row],[Price per Unit]]</f>
        <v>90</v>
      </c>
      <c r="J369">
        <v>90</v>
      </c>
      <c r="K369" s="8" t="str">
        <f>IF(Table4[[#This Row],[Total Amount]]=Table4[[#This Row],[Calculated Total]],"Correct","Check")</f>
        <v>Correct</v>
      </c>
      <c r="L369" s="8"/>
    </row>
    <row r="370" spans="1:12">
      <c r="A370" s="2">
        <v>12</v>
      </c>
      <c r="B370" s="1">
        <v>45229</v>
      </c>
      <c r="C370" t="s">
        <v>25</v>
      </c>
      <c r="D370" t="s">
        <v>10</v>
      </c>
      <c r="E370">
        <v>35</v>
      </c>
      <c r="F370" s="2" t="s">
        <v>11</v>
      </c>
      <c r="G370">
        <v>3</v>
      </c>
      <c r="H370">
        <v>25</v>
      </c>
      <c r="I370" s="8">
        <f>Table4[[#This Row],[Quantity]]*Table4[[#This Row],[Price per Unit]]</f>
        <v>75</v>
      </c>
      <c r="J370">
        <v>75</v>
      </c>
      <c r="K370" s="8" t="str">
        <f>IF(Table4[[#This Row],[Total Amount]]=Table4[[#This Row],[Calculated Total]],"Correct","Check")</f>
        <v>Correct</v>
      </c>
      <c r="L370" s="8"/>
    </row>
    <row r="371" spans="1:12">
      <c r="A371" s="2">
        <v>977</v>
      </c>
      <c r="B371" s="1">
        <v>44965</v>
      </c>
      <c r="C371" t="s">
        <v>990</v>
      </c>
      <c r="D371" t="s">
        <v>13</v>
      </c>
      <c r="E371">
        <v>35</v>
      </c>
      <c r="F371" s="2" t="s">
        <v>16</v>
      </c>
      <c r="G371">
        <v>3</v>
      </c>
      <c r="H371">
        <v>25</v>
      </c>
      <c r="I371" s="8">
        <f>Table4[[#This Row],[Quantity]]*Table4[[#This Row],[Price per Unit]]</f>
        <v>75</v>
      </c>
      <c r="J371">
        <v>75</v>
      </c>
      <c r="K371" s="8" t="str">
        <f>IF(Table4[[#This Row],[Total Amount]]=Table4[[#This Row],[Calculated Total]],"Correct","Check")</f>
        <v>Correct</v>
      </c>
      <c r="L371" s="8"/>
    </row>
    <row r="372" spans="1:12">
      <c r="A372" s="2">
        <v>750</v>
      </c>
      <c r="B372" s="1">
        <v>44991</v>
      </c>
      <c r="C372" t="s">
        <v>763</v>
      </c>
      <c r="D372" t="s">
        <v>13</v>
      </c>
      <c r="E372">
        <v>35</v>
      </c>
      <c r="F372" s="2" t="s">
        <v>14</v>
      </c>
      <c r="G372">
        <v>3</v>
      </c>
      <c r="H372">
        <v>25</v>
      </c>
      <c r="I372" s="8">
        <f>Table4[[#This Row],[Quantity]]*Table4[[#This Row],[Price per Unit]]</f>
        <v>75</v>
      </c>
      <c r="J372">
        <v>75</v>
      </c>
      <c r="K372" s="8" t="str">
        <f>IF(Table4[[#This Row],[Total Amount]]=Table4[[#This Row],[Calculated Total]],"Correct","Check")</f>
        <v>Correct</v>
      </c>
      <c r="L372" s="8"/>
    </row>
    <row r="373" spans="1:12" hidden="1">
      <c r="A373" s="2">
        <v>593</v>
      </c>
      <c r="B373" s="1">
        <v>45052</v>
      </c>
      <c r="C373" t="s">
        <v>606</v>
      </c>
      <c r="D373" t="s">
        <v>10</v>
      </c>
      <c r="E373">
        <v>35</v>
      </c>
      <c r="F373" s="2" t="s">
        <v>16</v>
      </c>
      <c r="G373">
        <v>2</v>
      </c>
      <c r="H373">
        <v>30</v>
      </c>
      <c r="I373" s="8">
        <f>Table4[[#This Row],[Quantity]]*Table4[[#This Row],[Price per Unit]]</f>
        <v>60</v>
      </c>
      <c r="J373">
        <v>60</v>
      </c>
      <c r="K373" s="8" t="str">
        <f>IF(Table4[[#This Row],[Total Amount]]=Table4[[#This Row],[Calculated Total]],"Correct","Check")</f>
        <v>Correct</v>
      </c>
      <c r="L373" s="8"/>
    </row>
    <row r="374" spans="1:12" hidden="1">
      <c r="A374" s="2">
        <v>889</v>
      </c>
      <c r="B374" s="1">
        <v>45201</v>
      </c>
      <c r="C374" t="s">
        <v>902</v>
      </c>
      <c r="D374" t="s">
        <v>13</v>
      </c>
      <c r="E374">
        <v>35</v>
      </c>
      <c r="F374" s="2" t="s">
        <v>16</v>
      </c>
      <c r="G374">
        <v>1</v>
      </c>
      <c r="H374">
        <v>50</v>
      </c>
      <c r="I374" s="8">
        <f>Table4[[#This Row],[Quantity]]*Table4[[#This Row],[Price per Unit]]</f>
        <v>50</v>
      </c>
      <c r="J374">
        <v>50</v>
      </c>
      <c r="K374" s="8" t="str">
        <f>IF(Table4[[#This Row],[Total Amount]]=Table4[[#This Row],[Calculated Total]],"Correct","Check")</f>
        <v>Correct</v>
      </c>
      <c r="L374" s="8"/>
    </row>
    <row r="375" spans="1:12" hidden="1">
      <c r="A375" s="2">
        <v>486</v>
      </c>
      <c r="B375" s="1">
        <v>45025</v>
      </c>
      <c r="C375" t="s">
        <v>499</v>
      </c>
      <c r="D375" t="s">
        <v>13</v>
      </c>
      <c r="E375">
        <v>35</v>
      </c>
      <c r="F375" s="2" t="s">
        <v>16</v>
      </c>
      <c r="G375">
        <v>1</v>
      </c>
      <c r="H375">
        <v>25</v>
      </c>
      <c r="I375" s="8">
        <f>Table4[[#This Row],[Quantity]]*Table4[[#This Row],[Price per Unit]]</f>
        <v>25</v>
      </c>
      <c r="J375">
        <v>25</v>
      </c>
      <c r="K375" s="8" t="str">
        <f>IF(Table4[[#This Row],[Total Amount]]=Table4[[#This Row],[Calculated Total]],"Correct","Check")</f>
        <v>Correct</v>
      </c>
      <c r="L375" s="8"/>
    </row>
    <row r="376" spans="1:12">
      <c r="A376" s="2">
        <v>139</v>
      </c>
      <c r="B376" s="1">
        <v>45275</v>
      </c>
      <c r="C376" t="s">
        <v>152</v>
      </c>
      <c r="D376" t="s">
        <v>10</v>
      </c>
      <c r="E376">
        <v>36</v>
      </c>
      <c r="F376" s="2" t="s">
        <v>11</v>
      </c>
      <c r="G376">
        <v>4</v>
      </c>
      <c r="H376">
        <v>500</v>
      </c>
      <c r="I376" s="8">
        <f>Table4[[#This Row],[Quantity]]*Table4[[#This Row],[Price per Unit]]</f>
        <v>2000</v>
      </c>
      <c r="J376">
        <v>2000</v>
      </c>
      <c r="K376" s="8" t="str">
        <f>IF(Table4[[#This Row],[Total Amount]]=Table4[[#This Row],[Calculated Total]],"Correct","Check")</f>
        <v>Correct</v>
      </c>
      <c r="L376" s="8"/>
    </row>
    <row r="377" spans="1:12">
      <c r="A377" s="2">
        <v>700</v>
      </c>
      <c r="B377" s="1">
        <v>45269</v>
      </c>
      <c r="C377" t="s">
        <v>713</v>
      </c>
      <c r="D377" t="s">
        <v>10</v>
      </c>
      <c r="E377">
        <v>36</v>
      </c>
      <c r="F377" s="2" t="s">
        <v>16</v>
      </c>
      <c r="G377">
        <v>4</v>
      </c>
      <c r="H377">
        <v>500</v>
      </c>
      <c r="I377" s="8">
        <f>Table4[[#This Row],[Quantity]]*Table4[[#This Row],[Price per Unit]]</f>
        <v>2000</v>
      </c>
      <c r="J377">
        <v>2000</v>
      </c>
      <c r="K377" s="8" t="str">
        <f>IF(Table4[[#This Row],[Total Amount]]=Table4[[#This Row],[Calculated Total]],"Correct","Check")</f>
        <v>Correct</v>
      </c>
      <c r="L377" s="8"/>
    </row>
    <row r="378" spans="1:12">
      <c r="A378" s="2">
        <v>340</v>
      </c>
      <c r="B378" s="1">
        <v>45218</v>
      </c>
      <c r="C378" t="s">
        <v>353</v>
      </c>
      <c r="D378" t="s">
        <v>13</v>
      </c>
      <c r="E378">
        <v>36</v>
      </c>
      <c r="F378" s="2" t="s">
        <v>14</v>
      </c>
      <c r="G378">
        <v>4</v>
      </c>
      <c r="H378">
        <v>300</v>
      </c>
      <c r="I378" s="8">
        <f>Table4[[#This Row],[Quantity]]*Table4[[#This Row],[Price per Unit]]</f>
        <v>1200</v>
      </c>
      <c r="J378">
        <v>1200</v>
      </c>
      <c r="K378" s="8" t="str">
        <f>IF(Table4[[#This Row],[Total Amount]]=Table4[[#This Row],[Calculated Total]],"Correct","Check")</f>
        <v>Correct</v>
      </c>
      <c r="L378" s="8"/>
    </row>
    <row r="379" spans="1:12" hidden="1">
      <c r="A379" s="2">
        <v>589</v>
      </c>
      <c r="B379" s="1">
        <v>45028</v>
      </c>
      <c r="C379" t="s">
        <v>602</v>
      </c>
      <c r="D379" t="s">
        <v>13</v>
      </c>
      <c r="E379">
        <v>36</v>
      </c>
      <c r="F379" s="2" t="s">
        <v>11</v>
      </c>
      <c r="G379">
        <v>2</v>
      </c>
      <c r="H379">
        <v>500</v>
      </c>
      <c r="I379" s="8">
        <f>Table4[[#This Row],[Quantity]]*Table4[[#This Row],[Price per Unit]]</f>
        <v>1000</v>
      </c>
      <c r="J379">
        <v>1000</v>
      </c>
      <c r="K379" s="8" t="str">
        <f>IF(Table4[[#This Row],[Total Amount]]=Table4[[#This Row],[Calculated Total]],"Correct","Check")</f>
        <v>Correct</v>
      </c>
      <c r="L379" s="8"/>
    </row>
    <row r="380" spans="1:12">
      <c r="A380" s="2">
        <v>590</v>
      </c>
      <c r="B380" s="1">
        <v>45002</v>
      </c>
      <c r="C380" t="s">
        <v>603</v>
      </c>
      <c r="D380" t="s">
        <v>10</v>
      </c>
      <c r="E380">
        <v>36</v>
      </c>
      <c r="F380" s="2" t="s">
        <v>14</v>
      </c>
      <c r="G380">
        <v>3</v>
      </c>
      <c r="H380">
        <v>300</v>
      </c>
      <c r="I380" s="8">
        <f>Table4[[#This Row],[Quantity]]*Table4[[#This Row],[Price per Unit]]</f>
        <v>900</v>
      </c>
      <c r="J380">
        <v>900</v>
      </c>
      <c r="K380" s="8" t="str">
        <f>IF(Table4[[#This Row],[Total Amount]]=Table4[[#This Row],[Calculated Total]],"Correct","Check")</f>
        <v>Correct</v>
      </c>
      <c r="L380" s="8"/>
    </row>
    <row r="381" spans="1:12">
      <c r="A381" s="2">
        <v>950</v>
      </c>
      <c r="B381" s="1">
        <v>45237</v>
      </c>
      <c r="C381" t="s">
        <v>963</v>
      </c>
      <c r="D381" t="s">
        <v>10</v>
      </c>
      <c r="E381">
        <v>36</v>
      </c>
      <c r="F381" s="2" t="s">
        <v>14</v>
      </c>
      <c r="G381">
        <v>3</v>
      </c>
      <c r="H381">
        <v>300</v>
      </c>
      <c r="I381" s="8">
        <f>Table4[[#This Row],[Quantity]]*Table4[[#This Row],[Price per Unit]]</f>
        <v>900</v>
      </c>
      <c r="J381">
        <v>900</v>
      </c>
      <c r="K381" s="8" t="str">
        <f>IF(Table4[[#This Row],[Total Amount]]=Table4[[#This Row],[Calculated Total]],"Correct","Check")</f>
        <v>Correct</v>
      </c>
      <c r="L381" s="8"/>
    </row>
    <row r="382" spans="1:12" hidden="1">
      <c r="A382" s="2">
        <v>52</v>
      </c>
      <c r="B382" s="1">
        <v>44990</v>
      </c>
      <c r="C382" t="s">
        <v>65</v>
      </c>
      <c r="D382" t="s">
        <v>13</v>
      </c>
      <c r="E382">
        <v>36</v>
      </c>
      <c r="F382" s="2" t="s">
        <v>11</v>
      </c>
      <c r="G382">
        <v>1</v>
      </c>
      <c r="H382">
        <v>300</v>
      </c>
      <c r="I382" s="8">
        <f>Table4[[#This Row],[Quantity]]*Table4[[#This Row],[Price per Unit]]</f>
        <v>300</v>
      </c>
      <c r="J382">
        <v>300</v>
      </c>
      <c r="K382" s="8" t="str">
        <f>IF(Table4[[#This Row],[Total Amount]]=Table4[[#This Row],[Calculated Total]],"Correct","Check")</f>
        <v>Correct</v>
      </c>
      <c r="L382" s="8"/>
    </row>
    <row r="383" spans="1:12">
      <c r="A383" s="2">
        <v>546</v>
      </c>
      <c r="B383" s="1">
        <v>45210</v>
      </c>
      <c r="C383" t="s">
        <v>559</v>
      </c>
      <c r="D383" t="s">
        <v>13</v>
      </c>
      <c r="E383">
        <v>36</v>
      </c>
      <c r="F383" s="2" t="s">
        <v>16</v>
      </c>
      <c r="G383">
        <v>4</v>
      </c>
      <c r="H383">
        <v>50</v>
      </c>
      <c r="I383" s="8">
        <f>Table4[[#This Row],[Quantity]]*Table4[[#This Row],[Price per Unit]]</f>
        <v>200</v>
      </c>
      <c r="J383">
        <v>200</v>
      </c>
      <c r="K383" s="8" t="str">
        <f>IF(Table4[[#This Row],[Total Amount]]=Table4[[#This Row],[Calculated Total]],"Correct","Check")</f>
        <v>Correct</v>
      </c>
      <c r="L383" s="8"/>
    </row>
    <row r="384" spans="1:12">
      <c r="A384" s="2">
        <v>999</v>
      </c>
      <c r="B384" s="1">
        <v>45265</v>
      </c>
      <c r="C384" t="s">
        <v>1012</v>
      </c>
      <c r="D384" t="s">
        <v>13</v>
      </c>
      <c r="E384">
        <v>36</v>
      </c>
      <c r="F384" s="2" t="s">
        <v>16</v>
      </c>
      <c r="G384">
        <v>3</v>
      </c>
      <c r="H384">
        <v>50</v>
      </c>
      <c r="I384" s="8">
        <f>Table4[[#This Row],[Quantity]]*Table4[[#This Row],[Price per Unit]]</f>
        <v>150</v>
      </c>
      <c r="J384">
        <v>150</v>
      </c>
      <c r="K384" s="8" t="str">
        <f>IF(Table4[[#This Row],[Total Amount]]=Table4[[#This Row],[Calculated Total]],"Correct","Check")</f>
        <v>Correct</v>
      </c>
      <c r="L384" s="8"/>
    </row>
    <row r="385" spans="1:12">
      <c r="A385" s="2">
        <v>519</v>
      </c>
      <c r="B385" s="1">
        <v>44949</v>
      </c>
      <c r="C385" t="s">
        <v>532</v>
      </c>
      <c r="D385" t="s">
        <v>13</v>
      </c>
      <c r="E385">
        <v>36</v>
      </c>
      <c r="F385" s="2" t="s">
        <v>16</v>
      </c>
      <c r="G385">
        <v>4</v>
      </c>
      <c r="H385">
        <v>30</v>
      </c>
      <c r="I385" s="8">
        <f>Table4[[#This Row],[Quantity]]*Table4[[#This Row],[Price per Unit]]</f>
        <v>120</v>
      </c>
      <c r="J385">
        <v>120</v>
      </c>
      <c r="K385" s="8" t="str">
        <f>IF(Table4[[#This Row],[Total Amount]]=Table4[[#This Row],[Calculated Total]],"Correct","Check")</f>
        <v>Correct</v>
      </c>
      <c r="L385" s="8"/>
    </row>
    <row r="386" spans="1:12">
      <c r="A386" s="2">
        <v>277</v>
      </c>
      <c r="B386" s="1">
        <v>45156</v>
      </c>
      <c r="C386" t="s">
        <v>290</v>
      </c>
      <c r="D386" t="s">
        <v>10</v>
      </c>
      <c r="E386">
        <v>36</v>
      </c>
      <c r="F386" s="2" t="s">
        <v>14</v>
      </c>
      <c r="G386">
        <v>4</v>
      </c>
      <c r="H386">
        <v>25</v>
      </c>
      <c r="I386" s="8">
        <f>Table4[[#This Row],[Quantity]]*Table4[[#This Row],[Price per Unit]]</f>
        <v>100</v>
      </c>
      <c r="J386">
        <v>100</v>
      </c>
      <c r="K386" s="8" t="str">
        <f>IF(Table4[[#This Row],[Total Amount]]=Table4[[#This Row],[Calculated Total]],"Correct","Check")</f>
        <v>Correct</v>
      </c>
      <c r="L386" s="8"/>
    </row>
    <row r="387" spans="1:12" hidden="1">
      <c r="A387" s="2">
        <v>227</v>
      </c>
      <c r="B387" s="1">
        <v>45210</v>
      </c>
      <c r="C387" t="s">
        <v>240</v>
      </c>
      <c r="D387" t="s">
        <v>10</v>
      </c>
      <c r="E387">
        <v>36</v>
      </c>
      <c r="F387" s="2" t="s">
        <v>16</v>
      </c>
      <c r="G387">
        <v>2</v>
      </c>
      <c r="H387">
        <v>50</v>
      </c>
      <c r="I387" s="8">
        <f>Table4[[#This Row],[Quantity]]*Table4[[#This Row],[Price per Unit]]</f>
        <v>100</v>
      </c>
      <c r="J387">
        <v>100</v>
      </c>
      <c r="K387" s="8" t="str">
        <f>IF(Table4[[#This Row],[Total Amount]]=Table4[[#This Row],[Calculated Total]],"Correct","Check")</f>
        <v>Correct</v>
      </c>
      <c r="L387" s="8"/>
    </row>
    <row r="388" spans="1:12" hidden="1">
      <c r="A388" s="2">
        <v>528</v>
      </c>
      <c r="B388" s="1">
        <v>45113</v>
      </c>
      <c r="C388" t="s">
        <v>541</v>
      </c>
      <c r="D388" t="s">
        <v>13</v>
      </c>
      <c r="E388">
        <v>36</v>
      </c>
      <c r="F388" s="2" t="s">
        <v>14</v>
      </c>
      <c r="G388">
        <v>2</v>
      </c>
      <c r="H388">
        <v>30</v>
      </c>
      <c r="I388" s="8">
        <f>Table4[[#This Row],[Quantity]]*Table4[[#This Row],[Price per Unit]]</f>
        <v>60</v>
      </c>
      <c r="J388">
        <v>60</v>
      </c>
      <c r="K388" s="8" t="str">
        <f>IF(Table4[[#This Row],[Total Amount]]=Table4[[#This Row],[Calculated Total]],"Correct","Check")</f>
        <v>Correct</v>
      </c>
      <c r="L388" s="8"/>
    </row>
    <row r="389" spans="1:12" hidden="1">
      <c r="A389" s="2">
        <v>730</v>
      </c>
      <c r="B389" s="1">
        <v>45142</v>
      </c>
      <c r="C389" t="s">
        <v>743</v>
      </c>
      <c r="D389" t="s">
        <v>13</v>
      </c>
      <c r="E389">
        <v>36</v>
      </c>
      <c r="F389" s="2" t="s">
        <v>14</v>
      </c>
      <c r="G389">
        <v>2</v>
      </c>
      <c r="H389">
        <v>25</v>
      </c>
      <c r="I389" s="8">
        <f>Table4[[#This Row],[Quantity]]*Table4[[#This Row],[Price per Unit]]</f>
        <v>50</v>
      </c>
      <c r="J389">
        <v>50</v>
      </c>
      <c r="K389" s="8" t="str">
        <f>IF(Table4[[#This Row],[Total Amount]]=Table4[[#This Row],[Calculated Total]],"Correct","Check")</f>
        <v>Correct</v>
      </c>
      <c r="L389" s="8"/>
    </row>
    <row r="390" spans="1:12" hidden="1">
      <c r="A390" s="2">
        <v>739</v>
      </c>
      <c r="B390" s="1">
        <v>45259</v>
      </c>
      <c r="C390" t="s">
        <v>752</v>
      </c>
      <c r="D390" t="s">
        <v>10</v>
      </c>
      <c r="E390">
        <v>36</v>
      </c>
      <c r="F390" s="2" t="s">
        <v>11</v>
      </c>
      <c r="G390">
        <v>1</v>
      </c>
      <c r="H390">
        <v>25</v>
      </c>
      <c r="I390" s="8">
        <f>Table4[[#This Row],[Quantity]]*Table4[[#This Row],[Price per Unit]]</f>
        <v>25</v>
      </c>
      <c r="J390">
        <v>25</v>
      </c>
      <c r="K390" s="8" t="str">
        <f>IF(Table4[[#This Row],[Total Amount]]=Table4[[#This Row],[Calculated Total]],"Correct","Check")</f>
        <v>Correct</v>
      </c>
      <c r="L390" s="8"/>
    </row>
    <row r="391" spans="1:12">
      <c r="A391" s="2">
        <v>112</v>
      </c>
      <c r="B391" s="1">
        <v>45262</v>
      </c>
      <c r="C391" t="s">
        <v>125</v>
      </c>
      <c r="D391" t="s">
        <v>10</v>
      </c>
      <c r="E391">
        <v>37</v>
      </c>
      <c r="F391" s="2" t="s">
        <v>14</v>
      </c>
      <c r="G391">
        <v>3</v>
      </c>
      <c r="H391">
        <v>500</v>
      </c>
      <c r="I391" s="8">
        <f>Table4[[#This Row],[Quantity]]*Table4[[#This Row],[Price per Unit]]</f>
        <v>1500</v>
      </c>
      <c r="J391">
        <v>1500</v>
      </c>
      <c r="K391" s="8" t="str">
        <f>IF(Table4[[#This Row],[Total Amount]]=Table4[[#This Row],[Calculated Total]],"Correct","Check")</f>
        <v>Correct</v>
      </c>
      <c r="L391" s="8"/>
    </row>
    <row r="392" spans="1:12">
      <c r="A392" s="2">
        <v>280</v>
      </c>
      <c r="B392" s="1">
        <v>45020</v>
      </c>
      <c r="C392" t="s">
        <v>293</v>
      </c>
      <c r="D392" t="s">
        <v>13</v>
      </c>
      <c r="E392">
        <v>37</v>
      </c>
      <c r="F392" s="2" t="s">
        <v>14</v>
      </c>
      <c r="G392">
        <v>3</v>
      </c>
      <c r="H392">
        <v>500</v>
      </c>
      <c r="I392" s="8">
        <f>Table4[[#This Row],[Quantity]]*Table4[[#This Row],[Price per Unit]]</f>
        <v>1500</v>
      </c>
      <c r="J392">
        <v>1500</v>
      </c>
      <c r="K392" s="8" t="str">
        <f>IF(Table4[[#This Row],[Total Amount]]=Table4[[#This Row],[Calculated Total]],"Correct","Check")</f>
        <v>Correct</v>
      </c>
      <c r="L392" s="8"/>
    </row>
    <row r="393" spans="1:12">
      <c r="A393" s="2">
        <v>421</v>
      </c>
      <c r="B393" s="1">
        <v>44928</v>
      </c>
      <c r="C393" t="s">
        <v>434</v>
      </c>
      <c r="D393" t="s">
        <v>13</v>
      </c>
      <c r="E393">
        <v>37</v>
      </c>
      <c r="F393" s="2" t="s">
        <v>14</v>
      </c>
      <c r="G393">
        <v>3</v>
      </c>
      <c r="H393">
        <v>500</v>
      </c>
      <c r="I393" s="8">
        <f>Table4[[#This Row],[Quantity]]*Table4[[#This Row],[Price per Unit]]</f>
        <v>1500</v>
      </c>
      <c r="J393">
        <v>1500</v>
      </c>
      <c r="K393" s="8" t="str">
        <f>IF(Table4[[#This Row],[Total Amount]]=Table4[[#This Row],[Calculated Total]],"Correct","Check")</f>
        <v>Correct</v>
      </c>
      <c r="L393" s="8"/>
    </row>
    <row r="394" spans="1:12">
      <c r="A394" s="2">
        <v>507</v>
      </c>
      <c r="B394" s="1">
        <v>45232</v>
      </c>
      <c r="C394" t="s">
        <v>520</v>
      </c>
      <c r="D394" t="s">
        <v>13</v>
      </c>
      <c r="E394">
        <v>37</v>
      </c>
      <c r="F394" s="2" t="s">
        <v>16</v>
      </c>
      <c r="G394">
        <v>3</v>
      </c>
      <c r="H394">
        <v>500</v>
      </c>
      <c r="I394" s="8">
        <f>Table4[[#This Row],[Quantity]]*Table4[[#This Row],[Price per Unit]]</f>
        <v>1500</v>
      </c>
      <c r="J394">
        <v>1500</v>
      </c>
      <c r="K394" s="8" t="str">
        <f>IF(Table4[[#This Row],[Total Amount]]=Table4[[#This Row],[Calculated Total]],"Correct","Check")</f>
        <v>Correct</v>
      </c>
      <c r="L394" s="8"/>
    </row>
    <row r="395" spans="1:12">
      <c r="A395" s="2">
        <v>869</v>
      </c>
      <c r="B395" s="1">
        <v>45224</v>
      </c>
      <c r="C395" t="s">
        <v>882</v>
      </c>
      <c r="D395" t="s">
        <v>10</v>
      </c>
      <c r="E395">
        <v>37</v>
      </c>
      <c r="F395" s="2" t="s">
        <v>11</v>
      </c>
      <c r="G395">
        <v>3</v>
      </c>
      <c r="H395">
        <v>500</v>
      </c>
      <c r="I395" s="8">
        <f>Table4[[#This Row],[Quantity]]*Table4[[#This Row],[Price per Unit]]</f>
        <v>1500</v>
      </c>
      <c r="J395">
        <v>1500</v>
      </c>
      <c r="K395" s="8" t="str">
        <f>IF(Table4[[#This Row],[Total Amount]]=Table4[[#This Row],[Calculated Total]],"Correct","Check")</f>
        <v>Correct</v>
      </c>
      <c r="L395" s="8"/>
    </row>
    <row r="396" spans="1:12" hidden="1">
      <c r="A396" s="2">
        <v>605</v>
      </c>
      <c r="B396" s="1">
        <v>45131</v>
      </c>
      <c r="C396" t="s">
        <v>618</v>
      </c>
      <c r="D396" t="s">
        <v>10</v>
      </c>
      <c r="E396">
        <v>37</v>
      </c>
      <c r="F396" s="2" t="s">
        <v>16</v>
      </c>
      <c r="G396">
        <v>2</v>
      </c>
      <c r="H396">
        <v>500</v>
      </c>
      <c r="I396" s="8">
        <f>Table4[[#This Row],[Quantity]]*Table4[[#This Row],[Price per Unit]]</f>
        <v>1000</v>
      </c>
      <c r="J396">
        <v>1000</v>
      </c>
      <c r="K396" s="8" t="str">
        <f>IF(Table4[[#This Row],[Total Amount]]=Table4[[#This Row],[Calculated Total]],"Correct","Check")</f>
        <v>Correct</v>
      </c>
      <c r="L396" s="8"/>
    </row>
    <row r="397" spans="1:12">
      <c r="A397" s="2">
        <v>509</v>
      </c>
      <c r="B397" s="1">
        <v>45103</v>
      </c>
      <c r="C397" t="s">
        <v>522</v>
      </c>
      <c r="D397" t="s">
        <v>13</v>
      </c>
      <c r="E397">
        <v>37</v>
      </c>
      <c r="F397" s="2" t="s">
        <v>16</v>
      </c>
      <c r="G397">
        <v>3</v>
      </c>
      <c r="H397">
        <v>300</v>
      </c>
      <c r="I397" s="8">
        <f>Table4[[#This Row],[Quantity]]*Table4[[#This Row],[Price per Unit]]</f>
        <v>900</v>
      </c>
      <c r="J397">
        <v>900</v>
      </c>
      <c r="K397" s="8" t="str">
        <f>IF(Table4[[#This Row],[Total Amount]]=Table4[[#This Row],[Calculated Total]],"Correct","Check")</f>
        <v>Correct</v>
      </c>
      <c r="L397" s="8"/>
    </row>
    <row r="398" spans="1:12">
      <c r="A398" s="2">
        <v>886</v>
      </c>
      <c r="B398" s="1">
        <v>45025</v>
      </c>
      <c r="C398" t="s">
        <v>899</v>
      </c>
      <c r="D398" t="s">
        <v>10</v>
      </c>
      <c r="E398">
        <v>37</v>
      </c>
      <c r="F398" s="2" t="s">
        <v>16</v>
      </c>
      <c r="G398">
        <v>3</v>
      </c>
      <c r="H398">
        <v>300</v>
      </c>
      <c r="I398" s="8">
        <f>Table4[[#This Row],[Quantity]]*Table4[[#This Row],[Price per Unit]]</f>
        <v>900</v>
      </c>
      <c r="J398">
        <v>900</v>
      </c>
      <c r="K398" s="8" t="str">
        <f>IF(Table4[[#This Row],[Total Amount]]=Table4[[#This Row],[Calculated Total]],"Correct","Check")</f>
        <v>Correct</v>
      </c>
      <c r="L398" s="8"/>
    </row>
    <row r="399" spans="1:12" hidden="1">
      <c r="A399" s="2">
        <v>4</v>
      </c>
      <c r="B399" s="1">
        <v>45067</v>
      </c>
      <c r="C399" t="s">
        <v>17</v>
      </c>
      <c r="D399" t="s">
        <v>10</v>
      </c>
      <c r="E399">
        <v>37</v>
      </c>
      <c r="F399" s="2" t="s">
        <v>14</v>
      </c>
      <c r="G399">
        <v>1</v>
      </c>
      <c r="H399">
        <v>500</v>
      </c>
      <c r="I399" s="8">
        <f>Table4[[#This Row],[Quantity]]*Table4[[#This Row],[Price per Unit]]</f>
        <v>500</v>
      </c>
      <c r="J399">
        <v>500</v>
      </c>
      <c r="K399" s="8" t="str">
        <f>IF(Table4[[#This Row],[Total Amount]]=Table4[[#This Row],[Calculated Total]],"Correct","Check")</f>
        <v>Correct</v>
      </c>
      <c r="L399" s="8"/>
    </row>
    <row r="400" spans="1:12">
      <c r="A400" s="2">
        <v>210</v>
      </c>
      <c r="B400" s="1">
        <v>45029</v>
      </c>
      <c r="C400" t="s">
        <v>223</v>
      </c>
      <c r="D400" t="s">
        <v>10</v>
      </c>
      <c r="E400">
        <v>37</v>
      </c>
      <c r="F400" s="2" t="s">
        <v>16</v>
      </c>
      <c r="G400">
        <v>4</v>
      </c>
      <c r="H400">
        <v>50</v>
      </c>
      <c r="I400" s="8">
        <f>Table4[[#This Row],[Quantity]]*Table4[[#This Row],[Price per Unit]]</f>
        <v>200</v>
      </c>
      <c r="J400">
        <v>200</v>
      </c>
      <c r="K400" s="8" t="str">
        <f>IF(Table4[[#This Row],[Total Amount]]=Table4[[#This Row],[Calculated Total]],"Correct","Check")</f>
        <v>Correct</v>
      </c>
      <c r="L400" s="8"/>
    </row>
    <row r="401" spans="1:12">
      <c r="A401" s="2">
        <v>835</v>
      </c>
      <c r="B401" s="1">
        <v>45176</v>
      </c>
      <c r="C401" t="s">
        <v>848</v>
      </c>
      <c r="D401" t="s">
        <v>10</v>
      </c>
      <c r="E401">
        <v>37</v>
      </c>
      <c r="F401" s="2" t="s">
        <v>14</v>
      </c>
      <c r="G401">
        <v>4</v>
      </c>
      <c r="H401">
        <v>50</v>
      </c>
      <c r="I401" s="8">
        <f>Table4[[#This Row],[Quantity]]*Table4[[#This Row],[Price per Unit]]</f>
        <v>200</v>
      </c>
      <c r="J401">
        <v>200</v>
      </c>
      <c r="K401" s="8" t="str">
        <f>IF(Table4[[#This Row],[Total Amount]]=Table4[[#This Row],[Calculated Total]],"Correct","Check")</f>
        <v>Correct</v>
      </c>
      <c r="L401" s="8"/>
    </row>
    <row r="402" spans="1:12">
      <c r="A402" s="2">
        <v>598</v>
      </c>
      <c r="B402" s="1">
        <v>45139</v>
      </c>
      <c r="C402" t="s">
        <v>611</v>
      </c>
      <c r="D402" t="s">
        <v>10</v>
      </c>
      <c r="E402">
        <v>37</v>
      </c>
      <c r="F402" s="2" t="s">
        <v>11</v>
      </c>
      <c r="G402">
        <v>4</v>
      </c>
      <c r="H402">
        <v>30</v>
      </c>
      <c r="I402" s="8">
        <f>Table4[[#This Row],[Quantity]]*Table4[[#This Row],[Price per Unit]]</f>
        <v>120</v>
      </c>
      <c r="J402">
        <v>120</v>
      </c>
      <c r="K402" s="8" t="str">
        <f>IF(Table4[[#This Row],[Total Amount]]=Table4[[#This Row],[Calculated Total]],"Correct","Check")</f>
        <v>Correct</v>
      </c>
      <c r="L402" s="8"/>
    </row>
    <row r="403" spans="1:12">
      <c r="A403" s="2">
        <v>699</v>
      </c>
      <c r="B403" s="1">
        <v>45099</v>
      </c>
      <c r="C403" t="s">
        <v>712</v>
      </c>
      <c r="D403" t="s">
        <v>13</v>
      </c>
      <c r="E403">
        <v>37</v>
      </c>
      <c r="F403" s="2" t="s">
        <v>14</v>
      </c>
      <c r="G403">
        <v>4</v>
      </c>
      <c r="H403">
        <v>30</v>
      </c>
      <c r="I403" s="8">
        <f>Table4[[#This Row],[Quantity]]*Table4[[#This Row],[Price per Unit]]</f>
        <v>120</v>
      </c>
      <c r="J403">
        <v>120</v>
      </c>
      <c r="K403" s="8" t="str">
        <f>IF(Table4[[#This Row],[Total Amount]]=Table4[[#This Row],[Calculated Total]],"Correct","Check")</f>
        <v>Correct</v>
      </c>
      <c r="L403" s="8"/>
    </row>
    <row r="404" spans="1:12">
      <c r="A404" s="2">
        <v>278</v>
      </c>
      <c r="B404" s="1">
        <v>44998</v>
      </c>
      <c r="C404" t="s">
        <v>291</v>
      </c>
      <c r="D404" t="s">
        <v>13</v>
      </c>
      <c r="E404">
        <v>37</v>
      </c>
      <c r="F404" s="2" t="s">
        <v>14</v>
      </c>
      <c r="G404">
        <v>4</v>
      </c>
      <c r="H404">
        <v>25</v>
      </c>
      <c r="I404" s="8">
        <f>Table4[[#This Row],[Quantity]]*Table4[[#This Row],[Price per Unit]]</f>
        <v>100</v>
      </c>
      <c r="J404">
        <v>100</v>
      </c>
      <c r="K404" s="8" t="str">
        <f>IF(Table4[[#This Row],[Total Amount]]=Table4[[#This Row],[Calculated Total]],"Correct","Check")</f>
        <v>Correct</v>
      </c>
      <c r="L404" s="8"/>
    </row>
    <row r="405" spans="1:12" hidden="1">
      <c r="A405" s="2">
        <v>304</v>
      </c>
      <c r="B405" s="1">
        <v>45126</v>
      </c>
      <c r="C405" t="s">
        <v>317</v>
      </c>
      <c r="D405" t="s">
        <v>13</v>
      </c>
      <c r="E405">
        <v>37</v>
      </c>
      <c r="F405" s="2" t="s">
        <v>16</v>
      </c>
      <c r="G405">
        <v>2</v>
      </c>
      <c r="H405">
        <v>30</v>
      </c>
      <c r="I405" s="8">
        <f>Table4[[#This Row],[Quantity]]*Table4[[#This Row],[Price per Unit]]</f>
        <v>60</v>
      </c>
      <c r="J405">
        <v>60</v>
      </c>
      <c r="K405" s="8" t="str">
        <f>IF(Table4[[#This Row],[Total Amount]]=Table4[[#This Row],[Calculated Total]],"Correct","Check")</f>
        <v>Correct</v>
      </c>
      <c r="L405" s="8"/>
    </row>
    <row r="406" spans="1:12" hidden="1">
      <c r="A406" s="2">
        <v>258</v>
      </c>
      <c r="B406" s="1">
        <v>45264</v>
      </c>
      <c r="C406" t="s">
        <v>271</v>
      </c>
      <c r="D406" t="s">
        <v>13</v>
      </c>
      <c r="E406">
        <v>37</v>
      </c>
      <c r="F406" s="2" t="s">
        <v>14</v>
      </c>
      <c r="G406">
        <v>1</v>
      </c>
      <c r="H406">
        <v>50</v>
      </c>
      <c r="I406" s="8">
        <f>Table4[[#This Row],[Quantity]]*Table4[[#This Row],[Price per Unit]]</f>
        <v>50</v>
      </c>
      <c r="J406">
        <v>50</v>
      </c>
      <c r="K406" s="8" t="str">
        <f>IF(Table4[[#This Row],[Total Amount]]=Table4[[#This Row],[Calculated Total]],"Correct","Check")</f>
        <v>Correct</v>
      </c>
      <c r="L406" s="8"/>
    </row>
    <row r="407" spans="1:12">
      <c r="A407" s="2">
        <v>742</v>
      </c>
      <c r="B407" s="1">
        <v>44947</v>
      </c>
      <c r="C407" t="s">
        <v>755</v>
      </c>
      <c r="D407" t="s">
        <v>13</v>
      </c>
      <c r="E407">
        <v>38</v>
      </c>
      <c r="F407" s="2" t="s">
        <v>16</v>
      </c>
      <c r="G407">
        <v>4</v>
      </c>
      <c r="H407">
        <v>500</v>
      </c>
      <c r="I407" s="8">
        <f>Table4[[#This Row],[Quantity]]*Table4[[#This Row],[Price per Unit]]</f>
        <v>2000</v>
      </c>
      <c r="J407">
        <v>2000</v>
      </c>
      <c r="K407" s="8" t="str">
        <f>IF(Table4[[#This Row],[Total Amount]]=Table4[[#This Row],[Calculated Total]],"Correct","Check")</f>
        <v>Correct</v>
      </c>
      <c r="L407" s="8"/>
    </row>
    <row r="408" spans="1:12">
      <c r="A408" s="2">
        <v>54</v>
      </c>
      <c r="B408" s="1">
        <v>44967</v>
      </c>
      <c r="C408" t="s">
        <v>67</v>
      </c>
      <c r="D408" t="s">
        <v>13</v>
      </c>
      <c r="E408">
        <v>38</v>
      </c>
      <c r="F408" s="2" t="s">
        <v>16</v>
      </c>
      <c r="G408">
        <v>3</v>
      </c>
      <c r="H408">
        <v>500</v>
      </c>
      <c r="I408" s="8">
        <f>Table4[[#This Row],[Quantity]]*Table4[[#This Row],[Price per Unit]]</f>
        <v>1500</v>
      </c>
      <c r="J408">
        <v>1500</v>
      </c>
      <c r="K408" s="8" t="str">
        <f>IF(Table4[[#This Row],[Total Amount]]=Table4[[#This Row],[Calculated Total]],"Correct","Check")</f>
        <v>Correct</v>
      </c>
      <c r="L408" s="8"/>
    </row>
    <row r="409" spans="1:12">
      <c r="A409" s="2">
        <v>239</v>
      </c>
      <c r="B409" s="1">
        <v>45096</v>
      </c>
      <c r="C409" t="s">
        <v>252</v>
      </c>
      <c r="D409" t="s">
        <v>10</v>
      </c>
      <c r="E409">
        <v>38</v>
      </c>
      <c r="F409" s="2" t="s">
        <v>16</v>
      </c>
      <c r="G409">
        <v>3</v>
      </c>
      <c r="H409">
        <v>500</v>
      </c>
      <c r="I409" s="8">
        <f>Table4[[#This Row],[Quantity]]*Table4[[#This Row],[Price per Unit]]</f>
        <v>1500</v>
      </c>
      <c r="J409">
        <v>1500</v>
      </c>
      <c r="K409" s="8" t="str">
        <f>IF(Table4[[#This Row],[Total Amount]]=Table4[[#This Row],[Calculated Total]],"Correct","Check")</f>
        <v>Correct</v>
      </c>
      <c r="L409" s="8"/>
    </row>
    <row r="410" spans="1:12" hidden="1">
      <c r="A410" s="2">
        <v>660</v>
      </c>
      <c r="B410" s="1">
        <v>45045</v>
      </c>
      <c r="C410" t="s">
        <v>673</v>
      </c>
      <c r="D410" t="s">
        <v>13</v>
      </c>
      <c r="E410">
        <v>38</v>
      </c>
      <c r="F410" s="2" t="s">
        <v>11</v>
      </c>
      <c r="G410">
        <v>2</v>
      </c>
      <c r="H410">
        <v>500</v>
      </c>
      <c r="I410" s="8">
        <f>Table4[[#This Row],[Quantity]]*Table4[[#This Row],[Price per Unit]]</f>
        <v>1000</v>
      </c>
      <c r="J410">
        <v>1000</v>
      </c>
      <c r="K410" s="8" t="str">
        <f>IF(Table4[[#This Row],[Total Amount]]=Table4[[#This Row],[Calculated Total]],"Correct","Check")</f>
        <v>Correct</v>
      </c>
      <c r="L410" s="8"/>
    </row>
    <row r="411" spans="1:12" hidden="1">
      <c r="A411" s="2">
        <v>683</v>
      </c>
      <c r="B411" s="1">
        <v>44930</v>
      </c>
      <c r="C411" t="s">
        <v>696</v>
      </c>
      <c r="D411" t="s">
        <v>10</v>
      </c>
      <c r="E411">
        <v>38</v>
      </c>
      <c r="F411" s="2" t="s">
        <v>11</v>
      </c>
      <c r="G411">
        <v>2</v>
      </c>
      <c r="H411">
        <v>500</v>
      </c>
      <c r="I411" s="8">
        <f>Table4[[#This Row],[Quantity]]*Table4[[#This Row],[Price per Unit]]</f>
        <v>1000</v>
      </c>
      <c r="J411">
        <v>1000</v>
      </c>
      <c r="K411" s="8" t="str">
        <f>IF(Table4[[#This Row],[Total Amount]]=Table4[[#This Row],[Calculated Total]],"Correct","Check")</f>
        <v>Correct</v>
      </c>
      <c r="L411" s="8"/>
    </row>
    <row r="412" spans="1:12">
      <c r="A412" s="2">
        <v>472</v>
      </c>
      <c r="B412" s="1">
        <v>45286</v>
      </c>
      <c r="C412" t="s">
        <v>485</v>
      </c>
      <c r="D412" t="s">
        <v>13</v>
      </c>
      <c r="E412">
        <v>38</v>
      </c>
      <c r="F412" s="2" t="s">
        <v>11</v>
      </c>
      <c r="G412">
        <v>3</v>
      </c>
      <c r="H412">
        <v>300</v>
      </c>
      <c r="I412" s="8">
        <f>Table4[[#This Row],[Quantity]]*Table4[[#This Row],[Price per Unit]]</f>
        <v>900</v>
      </c>
      <c r="J412">
        <v>900</v>
      </c>
      <c r="K412" s="8" t="str">
        <f>IF(Table4[[#This Row],[Total Amount]]=Table4[[#This Row],[Calculated Total]],"Correct","Check")</f>
        <v>Correct</v>
      </c>
      <c r="L412" s="8"/>
    </row>
    <row r="413" spans="1:12">
      <c r="A413" s="2">
        <v>766</v>
      </c>
      <c r="B413" s="1">
        <v>44982</v>
      </c>
      <c r="C413" t="s">
        <v>779</v>
      </c>
      <c r="D413" t="s">
        <v>10</v>
      </c>
      <c r="E413">
        <v>38</v>
      </c>
      <c r="F413" s="2" t="s">
        <v>16</v>
      </c>
      <c r="G413">
        <v>3</v>
      </c>
      <c r="H413">
        <v>300</v>
      </c>
      <c r="I413" s="8">
        <f>Table4[[#This Row],[Quantity]]*Table4[[#This Row],[Price per Unit]]</f>
        <v>900</v>
      </c>
      <c r="J413">
        <v>900</v>
      </c>
      <c r="K413" s="8" t="str">
        <f>IF(Table4[[#This Row],[Total Amount]]=Table4[[#This Row],[Calculated Total]],"Correct","Check")</f>
        <v>Correct</v>
      </c>
      <c r="L413" s="8"/>
    </row>
    <row r="414" spans="1:12" hidden="1">
      <c r="A414" s="2">
        <v>464</v>
      </c>
      <c r="B414" s="1">
        <v>44939</v>
      </c>
      <c r="C414" t="s">
        <v>477</v>
      </c>
      <c r="D414" t="s">
        <v>10</v>
      </c>
      <c r="E414">
        <v>38</v>
      </c>
      <c r="F414" s="2" t="s">
        <v>16</v>
      </c>
      <c r="G414">
        <v>2</v>
      </c>
      <c r="H414">
        <v>300</v>
      </c>
      <c r="I414" s="8">
        <f>Table4[[#This Row],[Quantity]]*Table4[[#This Row],[Price per Unit]]</f>
        <v>600</v>
      </c>
      <c r="J414">
        <v>600</v>
      </c>
      <c r="K414" s="8" t="str">
        <f>IF(Table4[[#This Row],[Total Amount]]=Table4[[#This Row],[Calculated Total]],"Correct","Check")</f>
        <v>Correct</v>
      </c>
      <c r="L414" s="8"/>
    </row>
    <row r="415" spans="1:12" hidden="1">
      <c r="A415" s="2">
        <v>337</v>
      </c>
      <c r="B415" s="1">
        <v>45047</v>
      </c>
      <c r="C415" t="s">
        <v>350</v>
      </c>
      <c r="D415" t="s">
        <v>10</v>
      </c>
      <c r="E415">
        <v>38</v>
      </c>
      <c r="F415" s="2" t="s">
        <v>14</v>
      </c>
      <c r="G415">
        <v>1</v>
      </c>
      <c r="H415">
        <v>500</v>
      </c>
      <c r="I415" s="8">
        <f>Table4[[#This Row],[Quantity]]*Table4[[#This Row],[Price per Unit]]</f>
        <v>500</v>
      </c>
      <c r="J415">
        <v>500</v>
      </c>
      <c r="K415" s="8" t="str">
        <f>IF(Table4[[#This Row],[Total Amount]]=Table4[[#This Row],[Calculated Total]],"Correct","Check")</f>
        <v>Correct</v>
      </c>
      <c r="L415" s="8"/>
    </row>
    <row r="416" spans="1:12" hidden="1">
      <c r="A416" s="2">
        <v>674</v>
      </c>
      <c r="B416" s="1">
        <v>45032</v>
      </c>
      <c r="C416" t="s">
        <v>687</v>
      </c>
      <c r="D416" t="s">
        <v>13</v>
      </c>
      <c r="E416">
        <v>38</v>
      </c>
      <c r="F416" s="2" t="s">
        <v>14</v>
      </c>
      <c r="G416">
        <v>1</v>
      </c>
      <c r="H416">
        <v>300</v>
      </c>
      <c r="I416" s="8">
        <f>Table4[[#This Row],[Quantity]]*Table4[[#This Row],[Price per Unit]]</f>
        <v>300</v>
      </c>
      <c r="J416">
        <v>300</v>
      </c>
      <c r="K416" s="8" t="str">
        <f>IF(Table4[[#This Row],[Total Amount]]=Table4[[#This Row],[Calculated Total]],"Correct","Check")</f>
        <v>Correct</v>
      </c>
      <c r="L416" s="8"/>
    </row>
    <row r="417" spans="1:12">
      <c r="A417" s="2">
        <v>146</v>
      </c>
      <c r="B417" s="1">
        <v>45166</v>
      </c>
      <c r="C417" t="s">
        <v>159</v>
      </c>
      <c r="D417" t="s">
        <v>10</v>
      </c>
      <c r="E417">
        <v>38</v>
      </c>
      <c r="F417" s="2" t="s">
        <v>14</v>
      </c>
      <c r="G417">
        <v>4</v>
      </c>
      <c r="H417">
        <v>50</v>
      </c>
      <c r="I417" s="8">
        <f>Table4[[#This Row],[Quantity]]*Table4[[#This Row],[Price per Unit]]</f>
        <v>200</v>
      </c>
      <c r="J417">
        <v>200</v>
      </c>
      <c r="K417" s="8" t="str">
        <f>IF(Table4[[#This Row],[Total Amount]]=Table4[[#This Row],[Calculated Total]],"Correct","Check")</f>
        <v>Correct</v>
      </c>
      <c r="L417" s="8"/>
    </row>
    <row r="418" spans="1:12">
      <c r="A418" s="2">
        <v>38</v>
      </c>
      <c r="B418" s="1">
        <v>45006</v>
      </c>
      <c r="C418" t="s">
        <v>51</v>
      </c>
      <c r="D418" t="s">
        <v>10</v>
      </c>
      <c r="E418">
        <v>38</v>
      </c>
      <c r="F418" s="2" t="s">
        <v>11</v>
      </c>
      <c r="G418">
        <v>4</v>
      </c>
      <c r="H418">
        <v>50</v>
      </c>
      <c r="I418" s="8">
        <f>Table4[[#This Row],[Quantity]]*Table4[[#This Row],[Price per Unit]]</f>
        <v>200</v>
      </c>
      <c r="J418">
        <v>200</v>
      </c>
      <c r="K418" s="8" t="str">
        <f>IF(Table4[[#This Row],[Total Amount]]=Table4[[#This Row],[Calculated Total]],"Correct","Check")</f>
        <v>Correct</v>
      </c>
      <c r="L418" s="8"/>
    </row>
    <row r="419" spans="1:12">
      <c r="A419" s="2">
        <v>504</v>
      </c>
      <c r="B419" s="1">
        <v>45062</v>
      </c>
      <c r="C419" t="s">
        <v>517</v>
      </c>
      <c r="D419" t="s">
        <v>13</v>
      </c>
      <c r="E419">
        <v>38</v>
      </c>
      <c r="F419" s="2" t="s">
        <v>11</v>
      </c>
      <c r="G419">
        <v>3</v>
      </c>
      <c r="H419">
        <v>50</v>
      </c>
      <c r="I419" s="8">
        <f>Table4[[#This Row],[Quantity]]*Table4[[#This Row],[Price per Unit]]</f>
        <v>150</v>
      </c>
      <c r="J419">
        <v>150</v>
      </c>
      <c r="K419" s="8" t="str">
        <f>IF(Table4[[#This Row],[Total Amount]]=Table4[[#This Row],[Calculated Total]],"Correct","Check")</f>
        <v>Correct</v>
      </c>
      <c r="L419" s="8"/>
    </row>
    <row r="420" spans="1:12">
      <c r="A420" s="2">
        <v>84</v>
      </c>
      <c r="B420" s="1">
        <v>45258</v>
      </c>
      <c r="C420" t="s">
        <v>97</v>
      </c>
      <c r="D420" t="s">
        <v>13</v>
      </c>
      <c r="E420">
        <v>38</v>
      </c>
      <c r="F420" s="2" t="s">
        <v>16</v>
      </c>
      <c r="G420">
        <v>3</v>
      </c>
      <c r="H420">
        <v>30</v>
      </c>
      <c r="I420" s="8">
        <f>Table4[[#This Row],[Quantity]]*Table4[[#This Row],[Price per Unit]]</f>
        <v>90</v>
      </c>
      <c r="J420">
        <v>90</v>
      </c>
      <c r="K420" s="8" t="str">
        <f>IF(Table4[[#This Row],[Total Amount]]=Table4[[#This Row],[Calculated Total]],"Correct","Check")</f>
        <v>Correct</v>
      </c>
      <c r="L420" s="8"/>
    </row>
    <row r="421" spans="1:12">
      <c r="A421" s="2">
        <v>646</v>
      </c>
      <c r="B421" s="1">
        <v>45049</v>
      </c>
      <c r="C421" t="s">
        <v>659</v>
      </c>
      <c r="D421" t="s">
        <v>10</v>
      </c>
      <c r="E421">
        <v>38</v>
      </c>
      <c r="F421" s="2" t="s">
        <v>14</v>
      </c>
      <c r="G421">
        <v>3</v>
      </c>
      <c r="H421">
        <v>30</v>
      </c>
      <c r="I421" s="8">
        <f>Table4[[#This Row],[Quantity]]*Table4[[#This Row],[Price per Unit]]</f>
        <v>90</v>
      </c>
      <c r="J421">
        <v>90</v>
      </c>
      <c r="K421" s="8" t="str">
        <f>IF(Table4[[#This Row],[Total Amount]]=Table4[[#This Row],[Calculated Total]],"Correct","Check")</f>
        <v>Correct</v>
      </c>
      <c r="L421" s="8"/>
    </row>
    <row r="422" spans="1:12" hidden="1">
      <c r="A422" s="2">
        <v>588</v>
      </c>
      <c r="B422" s="1">
        <v>45042</v>
      </c>
      <c r="C422" t="s">
        <v>601</v>
      </c>
      <c r="D422" t="s">
        <v>10</v>
      </c>
      <c r="E422">
        <v>38</v>
      </c>
      <c r="F422" s="2" t="s">
        <v>16</v>
      </c>
      <c r="G422">
        <v>2</v>
      </c>
      <c r="H422">
        <v>30</v>
      </c>
      <c r="I422" s="8">
        <f>Table4[[#This Row],[Quantity]]*Table4[[#This Row],[Price per Unit]]</f>
        <v>60</v>
      </c>
      <c r="J422">
        <v>60</v>
      </c>
      <c r="K422" s="8" t="str">
        <f>IF(Table4[[#This Row],[Total Amount]]=Table4[[#This Row],[Calculated Total]],"Correct","Check")</f>
        <v>Correct</v>
      </c>
      <c r="L422" s="8"/>
    </row>
    <row r="423" spans="1:12" hidden="1">
      <c r="A423" s="2">
        <v>27</v>
      </c>
      <c r="B423" s="1">
        <v>45141</v>
      </c>
      <c r="C423" t="s">
        <v>40</v>
      </c>
      <c r="D423" t="s">
        <v>13</v>
      </c>
      <c r="E423">
        <v>38</v>
      </c>
      <c r="F423" s="2" t="s">
        <v>11</v>
      </c>
      <c r="G423">
        <v>2</v>
      </c>
      <c r="H423">
        <v>25</v>
      </c>
      <c r="I423" s="8">
        <f>Table4[[#This Row],[Quantity]]*Table4[[#This Row],[Price per Unit]]</f>
        <v>50</v>
      </c>
      <c r="J423">
        <v>50</v>
      </c>
      <c r="K423" s="8" t="str">
        <f>IF(Table4[[#This Row],[Total Amount]]=Table4[[#This Row],[Calculated Total]],"Correct","Check")</f>
        <v>Correct</v>
      </c>
      <c r="L423" s="8"/>
    </row>
    <row r="424" spans="1:12" hidden="1">
      <c r="A424" s="2">
        <v>140</v>
      </c>
      <c r="B424" s="1">
        <v>45143</v>
      </c>
      <c r="C424" t="s">
        <v>153</v>
      </c>
      <c r="D424" t="s">
        <v>10</v>
      </c>
      <c r="E424">
        <v>38</v>
      </c>
      <c r="F424" s="2" t="s">
        <v>16</v>
      </c>
      <c r="G424">
        <v>1</v>
      </c>
      <c r="H424">
        <v>30</v>
      </c>
      <c r="I424" s="8">
        <f>Table4[[#This Row],[Quantity]]*Table4[[#This Row],[Price per Unit]]</f>
        <v>30</v>
      </c>
      <c r="J424">
        <v>30</v>
      </c>
      <c r="K424" s="8" t="str">
        <f>IF(Table4[[#This Row],[Total Amount]]=Table4[[#This Row],[Calculated Total]],"Correct","Check")</f>
        <v>Correct</v>
      </c>
      <c r="L424" s="8"/>
    </row>
    <row r="425" spans="1:12" hidden="1">
      <c r="A425" s="2">
        <v>579</v>
      </c>
      <c r="B425" s="1">
        <v>45190</v>
      </c>
      <c r="C425" t="s">
        <v>592</v>
      </c>
      <c r="D425" t="s">
        <v>13</v>
      </c>
      <c r="E425">
        <v>38</v>
      </c>
      <c r="F425" s="2" t="s">
        <v>16</v>
      </c>
      <c r="G425">
        <v>1</v>
      </c>
      <c r="H425">
        <v>30</v>
      </c>
      <c r="I425" s="8">
        <f>Table4[[#This Row],[Quantity]]*Table4[[#This Row],[Price per Unit]]</f>
        <v>30</v>
      </c>
      <c r="J425">
        <v>30</v>
      </c>
      <c r="K425" s="8" t="str">
        <f>IF(Table4[[#This Row],[Total Amount]]=Table4[[#This Row],[Calculated Total]],"Correct","Check")</f>
        <v>Correct</v>
      </c>
      <c r="L425" s="8"/>
    </row>
    <row r="426" spans="1:12">
      <c r="A426" s="2">
        <v>614</v>
      </c>
      <c r="B426" s="1">
        <v>45017</v>
      </c>
      <c r="C426" t="s">
        <v>627</v>
      </c>
      <c r="D426" t="s">
        <v>13</v>
      </c>
      <c r="E426">
        <v>39</v>
      </c>
      <c r="F426" s="2" t="s">
        <v>11</v>
      </c>
      <c r="G426">
        <v>4</v>
      </c>
      <c r="H426">
        <v>300</v>
      </c>
      <c r="I426" s="8">
        <f>Table4[[#This Row],[Quantity]]*Table4[[#This Row],[Price per Unit]]</f>
        <v>1200</v>
      </c>
      <c r="J426">
        <v>1200</v>
      </c>
      <c r="K426" s="8" t="str">
        <f>IF(Table4[[#This Row],[Total Amount]]=Table4[[#This Row],[Calculated Total]],"Correct","Check")</f>
        <v>Correct</v>
      </c>
      <c r="L426" s="8"/>
    </row>
    <row r="427" spans="1:12">
      <c r="A427" s="2">
        <v>30</v>
      </c>
      <c r="B427" s="1">
        <v>45228</v>
      </c>
      <c r="C427" t="s">
        <v>43</v>
      </c>
      <c r="D427" t="s">
        <v>13</v>
      </c>
      <c r="E427">
        <v>39</v>
      </c>
      <c r="F427" s="2" t="s">
        <v>11</v>
      </c>
      <c r="G427">
        <v>3</v>
      </c>
      <c r="H427">
        <v>300</v>
      </c>
      <c r="I427" s="8">
        <f>Table4[[#This Row],[Quantity]]*Table4[[#This Row],[Price per Unit]]</f>
        <v>900</v>
      </c>
      <c r="J427">
        <v>900</v>
      </c>
      <c r="K427" s="8" t="str">
        <f>IF(Table4[[#This Row],[Total Amount]]=Table4[[#This Row],[Calculated Total]],"Correct","Check")</f>
        <v>Correct</v>
      </c>
      <c r="L427" s="8"/>
    </row>
    <row r="428" spans="1:12" hidden="1">
      <c r="A428" s="2">
        <v>221</v>
      </c>
      <c r="B428" s="1">
        <v>45053</v>
      </c>
      <c r="C428" t="s">
        <v>234</v>
      </c>
      <c r="D428" t="s">
        <v>10</v>
      </c>
      <c r="E428">
        <v>39</v>
      </c>
      <c r="F428" s="2" t="s">
        <v>11</v>
      </c>
      <c r="G428">
        <v>2</v>
      </c>
      <c r="H428">
        <v>300</v>
      </c>
      <c r="I428" s="8">
        <f>Table4[[#This Row],[Quantity]]*Table4[[#This Row],[Price per Unit]]</f>
        <v>600</v>
      </c>
      <c r="J428">
        <v>600</v>
      </c>
      <c r="K428" s="8" t="str">
        <f>IF(Table4[[#This Row],[Total Amount]]=Table4[[#This Row],[Calculated Total]],"Correct","Check")</f>
        <v>Correct</v>
      </c>
      <c r="L428" s="8"/>
    </row>
    <row r="429" spans="1:12" hidden="1">
      <c r="A429" s="2">
        <v>238</v>
      </c>
      <c r="B429" s="1">
        <v>44943</v>
      </c>
      <c r="C429" t="s">
        <v>251</v>
      </c>
      <c r="D429" t="s">
        <v>13</v>
      </c>
      <c r="E429">
        <v>39</v>
      </c>
      <c r="F429" s="2" t="s">
        <v>11</v>
      </c>
      <c r="G429">
        <v>1</v>
      </c>
      <c r="H429">
        <v>500</v>
      </c>
      <c r="I429" s="8">
        <f>Table4[[#This Row],[Quantity]]*Table4[[#This Row],[Price per Unit]]</f>
        <v>500</v>
      </c>
      <c r="J429">
        <v>500</v>
      </c>
      <c r="K429" s="8" t="str">
        <f>IF(Table4[[#This Row],[Total Amount]]=Table4[[#This Row],[Calculated Total]],"Correct","Check")</f>
        <v>Correct</v>
      </c>
      <c r="L429" s="8"/>
    </row>
    <row r="430" spans="1:12" hidden="1">
      <c r="A430" s="2">
        <v>174</v>
      </c>
      <c r="B430" s="1">
        <v>45028</v>
      </c>
      <c r="C430" t="s">
        <v>187</v>
      </c>
      <c r="D430" t="s">
        <v>13</v>
      </c>
      <c r="E430">
        <v>39</v>
      </c>
      <c r="F430" s="2" t="s">
        <v>11</v>
      </c>
      <c r="G430">
        <v>1</v>
      </c>
      <c r="H430">
        <v>300</v>
      </c>
      <c r="I430" s="8">
        <f>Table4[[#This Row],[Quantity]]*Table4[[#This Row],[Price per Unit]]</f>
        <v>300</v>
      </c>
      <c r="J430">
        <v>300</v>
      </c>
      <c r="K430" s="8" t="str">
        <f>IF(Table4[[#This Row],[Total Amount]]=Table4[[#This Row],[Calculated Total]],"Correct","Check")</f>
        <v>Correct</v>
      </c>
      <c r="L430" s="8"/>
    </row>
    <row r="431" spans="1:12">
      <c r="A431" s="2">
        <v>510</v>
      </c>
      <c r="B431" s="1">
        <v>45087</v>
      </c>
      <c r="C431" t="s">
        <v>523</v>
      </c>
      <c r="D431" t="s">
        <v>13</v>
      </c>
      <c r="E431">
        <v>39</v>
      </c>
      <c r="F431" s="2" t="s">
        <v>11</v>
      </c>
      <c r="G431">
        <v>4</v>
      </c>
      <c r="H431">
        <v>50</v>
      </c>
      <c r="I431" s="8">
        <f>Table4[[#This Row],[Quantity]]*Table4[[#This Row],[Price per Unit]]</f>
        <v>200</v>
      </c>
      <c r="J431">
        <v>200</v>
      </c>
      <c r="K431" s="8" t="str">
        <f>IF(Table4[[#This Row],[Total Amount]]=Table4[[#This Row],[Calculated Total]],"Correct","Check")</f>
        <v>Correct</v>
      </c>
      <c r="L431" s="8"/>
    </row>
    <row r="432" spans="1:12">
      <c r="A432" s="2">
        <v>633</v>
      </c>
      <c r="B432" s="1">
        <v>45145</v>
      </c>
      <c r="C432" t="s">
        <v>646</v>
      </c>
      <c r="D432" t="s">
        <v>10</v>
      </c>
      <c r="E432">
        <v>39</v>
      </c>
      <c r="F432" s="2" t="s">
        <v>11</v>
      </c>
      <c r="G432">
        <v>4</v>
      </c>
      <c r="H432">
        <v>30</v>
      </c>
      <c r="I432" s="8">
        <f>Table4[[#This Row],[Quantity]]*Table4[[#This Row],[Price per Unit]]</f>
        <v>120</v>
      </c>
      <c r="J432">
        <v>120</v>
      </c>
      <c r="K432" s="8" t="str">
        <f>IF(Table4[[#This Row],[Total Amount]]=Table4[[#This Row],[Calculated Total]],"Correct","Check")</f>
        <v>Correct</v>
      </c>
      <c r="L432" s="8"/>
    </row>
    <row r="433" spans="1:12" hidden="1">
      <c r="A433" s="2">
        <v>328</v>
      </c>
      <c r="B433" s="1">
        <v>45007</v>
      </c>
      <c r="C433" t="s">
        <v>341</v>
      </c>
      <c r="D433" t="s">
        <v>10</v>
      </c>
      <c r="E433">
        <v>39</v>
      </c>
      <c r="F433" s="2" t="s">
        <v>11</v>
      </c>
      <c r="G433">
        <v>2</v>
      </c>
      <c r="H433">
        <v>50</v>
      </c>
      <c r="I433" s="8">
        <f>Table4[[#This Row],[Quantity]]*Table4[[#This Row],[Price per Unit]]</f>
        <v>100</v>
      </c>
      <c r="J433">
        <v>100</v>
      </c>
      <c r="K433" s="8" t="str">
        <f>IF(Table4[[#This Row],[Total Amount]]=Table4[[#This Row],[Calculated Total]],"Correct","Check")</f>
        <v>Correct</v>
      </c>
      <c r="L433" s="8"/>
    </row>
    <row r="434" spans="1:12" hidden="1">
      <c r="A434" s="2">
        <v>390</v>
      </c>
      <c r="B434" s="1">
        <v>45197</v>
      </c>
      <c r="C434" t="s">
        <v>403</v>
      </c>
      <c r="D434" t="s">
        <v>10</v>
      </c>
      <c r="E434">
        <v>39</v>
      </c>
      <c r="F434" s="2" t="s">
        <v>16</v>
      </c>
      <c r="G434">
        <v>2</v>
      </c>
      <c r="H434">
        <v>50</v>
      </c>
      <c r="I434" s="8">
        <f>Table4[[#This Row],[Quantity]]*Table4[[#This Row],[Price per Unit]]</f>
        <v>100</v>
      </c>
      <c r="J434">
        <v>100</v>
      </c>
      <c r="K434" s="8" t="str">
        <f>IF(Table4[[#This Row],[Total Amount]]=Table4[[#This Row],[Calculated Total]],"Correct","Check")</f>
        <v>Correct</v>
      </c>
      <c r="L434" s="8"/>
    </row>
    <row r="435" spans="1:12">
      <c r="A435" s="2">
        <v>458</v>
      </c>
      <c r="B435" s="1">
        <v>45244</v>
      </c>
      <c r="C435" t="s">
        <v>471</v>
      </c>
      <c r="D435" t="s">
        <v>13</v>
      </c>
      <c r="E435">
        <v>39</v>
      </c>
      <c r="F435" s="2" t="s">
        <v>16</v>
      </c>
      <c r="G435">
        <v>4</v>
      </c>
      <c r="H435">
        <v>25</v>
      </c>
      <c r="I435" s="8">
        <f>Table4[[#This Row],[Quantity]]*Table4[[#This Row],[Price per Unit]]</f>
        <v>100</v>
      </c>
      <c r="J435">
        <v>100</v>
      </c>
      <c r="K435" s="8" t="str">
        <f>IF(Table4[[#This Row],[Total Amount]]=Table4[[#This Row],[Calculated Total]],"Correct","Check")</f>
        <v>Correct</v>
      </c>
      <c r="L435" s="8"/>
    </row>
    <row r="436" spans="1:12">
      <c r="A436" s="2">
        <v>803</v>
      </c>
      <c r="B436" s="1">
        <v>45252</v>
      </c>
      <c r="C436" t="s">
        <v>816</v>
      </c>
      <c r="D436" t="s">
        <v>10</v>
      </c>
      <c r="E436">
        <v>39</v>
      </c>
      <c r="F436" s="2" t="s">
        <v>14</v>
      </c>
      <c r="G436">
        <v>4</v>
      </c>
      <c r="H436">
        <v>25</v>
      </c>
      <c r="I436" s="8">
        <f>Table4[[#This Row],[Quantity]]*Table4[[#This Row],[Price per Unit]]</f>
        <v>100</v>
      </c>
      <c r="J436">
        <v>100</v>
      </c>
      <c r="K436" s="8" t="str">
        <f>IF(Table4[[#This Row],[Total Amount]]=Table4[[#This Row],[Calculated Total]],"Correct","Check")</f>
        <v>Correct</v>
      </c>
      <c r="L436" s="8"/>
    </row>
    <row r="437" spans="1:12">
      <c r="A437" s="2">
        <v>145</v>
      </c>
      <c r="B437" s="1">
        <v>45232</v>
      </c>
      <c r="C437" t="s">
        <v>158</v>
      </c>
      <c r="D437" t="s">
        <v>13</v>
      </c>
      <c r="E437">
        <v>39</v>
      </c>
      <c r="F437" s="2" t="s">
        <v>14</v>
      </c>
      <c r="G437">
        <v>3</v>
      </c>
      <c r="H437">
        <v>25</v>
      </c>
      <c r="I437" s="8">
        <f>Table4[[#This Row],[Quantity]]*Table4[[#This Row],[Price per Unit]]</f>
        <v>75</v>
      </c>
      <c r="J437">
        <v>75</v>
      </c>
      <c r="K437" s="8" t="str">
        <f>IF(Table4[[#This Row],[Total Amount]]=Table4[[#This Row],[Calculated Total]],"Correct","Check")</f>
        <v>Correct</v>
      </c>
      <c r="L437" s="8"/>
    </row>
    <row r="438" spans="1:12">
      <c r="A438" s="2">
        <v>767</v>
      </c>
      <c r="B438" s="1">
        <v>45223</v>
      </c>
      <c r="C438" t="s">
        <v>780</v>
      </c>
      <c r="D438" t="s">
        <v>10</v>
      </c>
      <c r="E438">
        <v>39</v>
      </c>
      <c r="F438" s="2" t="s">
        <v>11</v>
      </c>
      <c r="G438">
        <v>3</v>
      </c>
      <c r="H438">
        <v>25</v>
      </c>
      <c r="I438" s="8">
        <f>Table4[[#This Row],[Quantity]]*Table4[[#This Row],[Price per Unit]]</f>
        <v>75</v>
      </c>
      <c r="J438">
        <v>75</v>
      </c>
      <c r="K438" s="8" t="str">
        <f>IF(Table4[[#This Row],[Total Amount]]=Table4[[#This Row],[Calculated Total]],"Correct","Check")</f>
        <v>Correct</v>
      </c>
      <c r="L438" s="8"/>
    </row>
    <row r="439" spans="1:12" hidden="1">
      <c r="A439" s="2">
        <v>162</v>
      </c>
      <c r="B439" s="1">
        <v>45159</v>
      </c>
      <c r="C439" t="s">
        <v>175</v>
      </c>
      <c r="D439" t="s">
        <v>10</v>
      </c>
      <c r="E439">
        <v>39</v>
      </c>
      <c r="F439" s="2" t="s">
        <v>14</v>
      </c>
      <c r="G439">
        <v>2</v>
      </c>
      <c r="H439">
        <v>30</v>
      </c>
      <c r="I439" s="8">
        <f>Table4[[#This Row],[Quantity]]*Table4[[#This Row],[Price per Unit]]</f>
        <v>60</v>
      </c>
      <c r="J439">
        <v>60</v>
      </c>
      <c r="K439" s="8" t="str">
        <f>IF(Table4[[#This Row],[Total Amount]]=Table4[[#This Row],[Calculated Total]],"Correct","Check")</f>
        <v>Correct</v>
      </c>
      <c r="L439" s="8"/>
    </row>
    <row r="440" spans="1:12" hidden="1">
      <c r="A440" s="2">
        <v>501</v>
      </c>
      <c r="B440" s="1">
        <v>45060</v>
      </c>
      <c r="C440" t="s">
        <v>514</v>
      </c>
      <c r="D440" t="s">
        <v>10</v>
      </c>
      <c r="E440">
        <v>39</v>
      </c>
      <c r="F440" s="2" t="s">
        <v>16</v>
      </c>
      <c r="G440">
        <v>2</v>
      </c>
      <c r="H440">
        <v>30</v>
      </c>
      <c r="I440" s="8">
        <f>Table4[[#This Row],[Quantity]]*Table4[[#This Row],[Price per Unit]]</f>
        <v>60</v>
      </c>
      <c r="J440">
        <v>60</v>
      </c>
      <c r="K440" s="8" t="str">
        <f>IF(Table4[[#This Row],[Total Amount]]=Table4[[#This Row],[Calculated Total]],"Correct","Check")</f>
        <v>Correct</v>
      </c>
      <c r="L440" s="8"/>
    </row>
    <row r="441" spans="1:12" hidden="1">
      <c r="A441" s="2">
        <v>694</v>
      </c>
      <c r="B441" s="1">
        <v>45066</v>
      </c>
      <c r="C441" t="s">
        <v>707</v>
      </c>
      <c r="D441" t="s">
        <v>13</v>
      </c>
      <c r="E441">
        <v>39</v>
      </c>
      <c r="F441" s="2" t="s">
        <v>16</v>
      </c>
      <c r="G441">
        <v>2</v>
      </c>
      <c r="H441">
        <v>25</v>
      </c>
      <c r="I441" s="8">
        <f>Table4[[#This Row],[Quantity]]*Table4[[#This Row],[Price per Unit]]</f>
        <v>50</v>
      </c>
      <c r="J441">
        <v>50</v>
      </c>
      <c r="K441" s="8" t="str">
        <f>IF(Table4[[#This Row],[Total Amount]]=Table4[[#This Row],[Calculated Total]],"Correct","Check")</f>
        <v>Correct</v>
      </c>
      <c r="L441" s="8"/>
    </row>
    <row r="442" spans="1:12" hidden="1">
      <c r="A442" s="2">
        <v>659</v>
      </c>
      <c r="B442" s="1">
        <v>45004</v>
      </c>
      <c r="C442" t="s">
        <v>672</v>
      </c>
      <c r="D442" t="s">
        <v>13</v>
      </c>
      <c r="E442">
        <v>39</v>
      </c>
      <c r="F442" s="2" t="s">
        <v>16</v>
      </c>
      <c r="G442">
        <v>1</v>
      </c>
      <c r="H442">
        <v>30</v>
      </c>
      <c r="I442" s="8">
        <f>Table4[[#This Row],[Quantity]]*Table4[[#This Row],[Price per Unit]]</f>
        <v>30</v>
      </c>
      <c r="J442">
        <v>30</v>
      </c>
      <c r="K442" s="8" t="str">
        <f>IF(Table4[[#This Row],[Total Amount]]=Table4[[#This Row],[Calculated Total]],"Correct","Check")</f>
        <v>Correct</v>
      </c>
      <c r="L442" s="8"/>
    </row>
    <row r="443" spans="1:12" hidden="1">
      <c r="A443" s="2">
        <v>204</v>
      </c>
      <c r="B443" s="1">
        <v>45197</v>
      </c>
      <c r="C443" t="s">
        <v>217</v>
      </c>
      <c r="D443" t="s">
        <v>10</v>
      </c>
      <c r="E443">
        <v>39</v>
      </c>
      <c r="F443" s="2" t="s">
        <v>11</v>
      </c>
      <c r="G443">
        <v>1</v>
      </c>
      <c r="H443">
        <v>25</v>
      </c>
      <c r="I443" s="8">
        <f>Table4[[#This Row],[Quantity]]*Table4[[#This Row],[Price per Unit]]</f>
        <v>25</v>
      </c>
      <c r="J443">
        <v>25</v>
      </c>
      <c r="K443" s="8" t="str">
        <f>IF(Table4[[#This Row],[Total Amount]]=Table4[[#This Row],[Calculated Total]],"Correct","Check")</f>
        <v>Correct</v>
      </c>
      <c r="L443" s="8"/>
    </row>
    <row r="444" spans="1:12">
      <c r="A444" s="2">
        <v>47</v>
      </c>
      <c r="B444" s="1">
        <v>45236</v>
      </c>
      <c r="C444" t="s">
        <v>60</v>
      </c>
      <c r="D444" t="s">
        <v>13</v>
      </c>
      <c r="E444">
        <v>40</v>
      </c>
      <c r="F444" s="2" t="s">
        <v>11</v>
      </c>
      <c r="G444">
        <v>3</v>
      </c>
      <c r="H444">
        <v>500</v>
      </c>
      <c r="I444" s="8">
        <f>Table4[[#This Row],[Quantity]]*Table4[[#This Row],[Price per Unit]]</f>
        <v>1500</v>
      </c>
      <c r="J444">
        <v>1500</v>
      </c>
      <c r="K444" s="8" t="str">
        <f>IF(Table4[[#This Row],[Total Amount]]=Table4[[#This Row],[Calculated Total]],"Correct","Check")</f>
        <v>Correct</v>
      </c>
      <c r="L444" s="8"/>
    </row>
    <row r="445" spans="1:12">
      <c r="A445" s="2">
        <v>559</v>
      </c>
      <c r="B445" s="1">
        <v>44927</v>
      </c>
      <c r="C445" t="s">
        <v>572</v>
      </c>
      <c r="D445" t="s">
        <v>13</v>
      </c>
      <c r="E445">
        <v>40</v>
      </c>
      <c r="F445" s="2" t="s">
        <v>14</v>
      </c>
      <c r="G445">
        <v>4</v>
      </c>
      <c r="H445">
        <v>300</v>
      </c>
      <c r="I445" s="8">
        <f>Table4[[#This Row],[Quantity]]*Table4[[#This Row],[Price per Unit]]</f>
        <v>1200</v>
      </c>
      <c r="J445">
        <v>1200</v>
      </c>
      <c r="K445" s="8" t="str">
        <f>IF(Table4[[#This Row],[Total Amount]]=Table4[[#This Row],[Calculated Total]],"Correct","Check")</f>
        <v>Correct</v>
      </c>
      <c r="L445" s="8"/>
    </row>
    <row r="446" spans="1:12">
      <c r="A446" s="2">
        <v>587</v>
      </c>
      <c r="B446" s="1">
        <v>45085</v>
      </c>
      <c r="C446" t="s">
        <v>600</v>
      </c>
      <c r="D446" t="s">
        <v>13</v>
      </c>
      <c r="E446">
        <v>40</v>
      </c>
      <c r="F446" s="2" t="s">
        <v>11</v>
      </c>
      <c r="G446">
        <v>4</v>
      </c>
      <c r="H446">
        <v>300</v>
      </c>
      <c r="I446" s="8">
        <f>Table4[[#This Row],[Quantity]]*Table4[[#This Row],[Price per Unit]]</f>
        <v>1200</v>
      </c>
      <c r="J446">
        <v>1200</v>
      </c>
      <c r="K446" s="8" t="str">
        <f>IF(Table4[[#This Row],[Total Amount]]=Table4[[#This Row],[Calculated Total]],"Correct","Check")</f>
        <v>Correct</v>
      </c>
      <c r="L446" s="8"/>
    </row>
    <row r="447" spans="1:12" hidden="1">
      <c r="A447" s="2">
        <v>297</v>
      </c>
      <c r="B447" s="1">
        <v>45173</v>
      </c>
      <c r="C447" t="s">
        <v>310</v>
      </c>
      <c r="D447" t="s">
        <v>13</v>
      </c>
      <c r="E447">
        <v>40</v>
      </c>
      <c r="F447" s="2" t="s">
        <v>16</v>
      </c>
      <c r="G447">
        <v>2</v>
      </c>
      <c r="H447">
        <v>500</v>
      </c>
      <c r="I447" s="8">
        <f>Table4[[#This Row],[Quantity]]*Table4[[#This Row],[Price per Unit]]</f>
        <v>1000</v>
      </c>
      <c r="J447">
        <v>1000</v>
      </c>
      <c r="K447" s="8" t="str">
        <f>IF(Table4[[#This Row],[Total Amount]]=Table4[[#This Row],[Calculated Total]],"Correct","Check")</f>
        <v>Correct</v>
      </c>
      <c r="L447" s="8"/>
    </row>
    <row r="448" spans="1:12" hidden="1">
      <c r="A448" s="2">
        <v>621</v>
      </c>
      <c r="B448" s="1">
        <v>44989</v>
      </c>
      <c r="C448" t="s">
        <v>634</v>
      </c>
      <c r="D448" t="s">
        <v>13</v>
      </c>
      <c r="E448">
        <v>40</v>
      </c>
      <c r="F448" s="2" t="s">
        <v>11</v>
      </c>
      <c r="G448">
        <v>2</v>
      </c>
      <c r="H448">
        <v>500</v>
      </c>
      <c r="I448" s="8">
        <f>Table4[[#This Row],[Quantity]]*Table4[[#This Row],[Price per Unit]]</f>
        <v>1000</v>
      </c>
      <c r="J448">
        <v>1000</v>
      </c>
      <c r="K448" s="8" t="str">
        <f>IF(Table4[[#This Row],[Total Amount]]=Table4[[#This Row],[Calculated Total]],"Correct","Check")</f>
        <v>Correct</v>
      </c>
      <c r="L448" s="8"/>
    </row>
    <row r="449" spans="1:12">
      <c r="A449" s="2">
        <v>550</v>
      </c>
      <c r="B449" s="1">
        <v>45267</v>
      </c>
      <c r="C449" t="s">
        <v>563</v>
      </c>
      <c r="D449" t="s">
        <v>10</v>
      </c>
      <c r="E449">
        <v>40</v>
      </c>
      <c r="F449" s="2" t="s">
        <v>14</v>
      </c>
      <c r="G449">
        <v>3</v>
      </c>
      <c r="H449">
        <v>300</v>
      </c>
      <c r="I449" s="8">
        <f>Table4[[#This Row],[Quantity]]*Table4[[#This Row],[Price per Unit]]</f>
        <v>900</v>
      </c>
      <c r="J449">
        <v>900</v>
      </c>
      <c r="K449" s="8" t="str">
        <f>IF(Table4[[#This Row],[Total Amount]]=Table4[[#This Row],[Calculated Total]],"Correct","Check")</f>
        <v>Correct</v>
      </c>
      <c r="L449" s="8"/>
    </row>
    <row r="450" spans="1:12">
      <c r="A450" s="2">
        <v>969</v>
      </c>
      <c r="B450" s="1">
        <v>45035</v>
      </c>
      <c r="C450" t="s">
        <v>982</v>
      </c>
      <c r="D450" t="s">
        <v>13</v>
      </c>
      <c r="E450">
        <v>40</v>
      </c>
      <c r="F450" s="2" t="s">
        <v>14</v>
      </c>
      <c r="G450">
        <v>3</v>
      </c>
      <c r="H450">
        <v>300</v>
      </c>
      <c r="I450" s="8">
        <f>Table4[[#This Row],[Quantity]]*Table4[[#This Row],[Price per Unit]]</f>
        <v>900</v>
      </c>
      <c r="J450">
        <v>900</v>
      </c>
      <c r="K450" s="8" t="str">
        <f>IF(Table4[[#This Row],[Total Amount]]=Table4[[#This Row],[Calculated Total]],"Correct","Check")</f>
        <v>Correct</v>
      </c>
      <c r="L450" s="8"/>
    </row>
    <row r="451" spans="1:12" hidden="1">
      <c r="A451" s="2">
        <v>883</v>
      </c>
      <c r="B451" s="1">
        <v>45055</v>
      </c>
      <c r="C451" t="s">
        <v>896</v>
      </c>
      <c r="D451" t="s">
        <v>10</v>
      </c>
      <c r="E451">
        <v>40</v>
      </c>
      <c r="F451" s="2" t="s">
        <v>16</v>
      </c>
      <c r="G451">
        <v>1</v>
      </c>
      <c r="H451">
        <v>500</v>
      </c>
      <c r="I451" s="8">
        <f>Table4[[#This Row],[Quantity]]*Table4[[#This Row],[Price per Unit]]</f>
        <v>500</v>
      </c>
      <c r="J451">
        <v>500</v>
      </c>
      <c r="K451" s="8" t="str">
        <f>IF(Table4[[#This Row],[Total Amount]]=Table4[[#This Row],[Calculated Total]],"Correct","Check")</f>
        <v>Correct</v>
      </c>
      <c r="L451" s="8"/>
    </row>
    <row r="452" spans="1:12" hidden="1">
      <c r="A452" s="2">
        <v>641</v>
      </c>
      <c r="B452" s="1">
        <v>45253</v>
      </c>
      <c r="C452" t="s">
        <v>654</v>
      </c>
      <c r="D452" t="s">
        <v>13</v>
      </c>
      <c r="E452">
        <v>40</v>
      </c>
      <c r="F452" s="2" t="s">
        <v>16</v>
      </c>
      <c r="G452">
        <v>1</v>
      </c>
      <c r="H452">
        <v>300</v>
      </c>
      <c r="I452" s="8">
        <f>Table4[[#This Row],[Quantity]]*Table4[[#This Row],[Price per Unit]]</f>
        <v>300</v>
      </c>
      <c r="J452">
        <v>300</v>
      </c>
      <c r="K452" s="8" t="str">
        <f>IF(Table4[[#This Row],[Total Amount]]=Table4[[#This Row],[Calculated Total]],"Correct","Check")</f>
        <v>Correct</v>
      </c>
      <c r="L452" s="8"/>
    </row>
    <row r="453" spans="1:12">
      <c r="A453" s="2">
        <v>428</v>
      </c>
      <c r="B453" s="1">
        <v>45209</v>
      </c>
      <c r="C453" t="s">
        <v>441</v>
      </c>
      <c r="D453" t="s">
        <v>13</v>
      </c>
      <c r="E453">
        <v>40</v>
      </c>
      <c r="F453" s="2" t="s">
        <v>16</v>
      </c>
      <c r="G453">
        <v>4</v>
      </c>
      <c r="H453">
        <v>50</v>
      </c>
      <c r="I453" s="8">
        <f>Table4[[#This Row],[Quantity]]*Table4[[#This Row],[Price per Unit]]</f>
        <v>200</v>
      </c>
      <c r="J453">
        <v>200</v>
      </c>
      <c r="K453" s="8" t="str">
        <f>IF(Table4[[#This Row],[Total Amount]]=Table4[[#This Row],[Calculated Total]],"Correct","Check")</f>
        <v>Correct</v>
      </c>
      <c r="L453" s="8"/>
    </row>
    <row r="454" spans="1:12">
      <c r="A454" s="2">
        <v>603</v>
      </c>
      <c r="B454" s="1">
        <v>45123</v>
      </c>
      <c r="C454" t="s">
        <v>616</v>
      </c>
      <c r="D454" t="s">
        <v>13</v>
      </c>
      <c r="E454">
        <v>40</v>
      </c>
      <c r="F454" s="2" t="s">
        <v>14</v>
      </c>
      <c r="G454">
        <v>3</v>
      </c>
      <c r="H454">
        <v>30</v>
      </c>
      <c r="I454" s="8">
        <f>Table4[[#This Row],[Quantity]]*Table4[[#This Row],[Price per Unit]]</f>
        <v>90</v>
      </c>
      <c r="J454">
        <v>90</v>
      </c>
      <c r="K454" s="8" t="str">
        <f>IF(Table4[[#This Row],[Total Amount]]=Table4[[#This Row],[Calculated Total]],"Correct","Check")</f>
        <v>Correct</v>
      </c>
      <c r="L454" s="8"/>
    </row>
    <row r="455" spans="1:12">
      <c r="A455" s="2">
        <v>188</v>
      </c>
      <c r="B455" s="1">
        <v>45049</v>
      </c>
      <c r="C455" t="s">
        <v>201</v>
      </c>
      <c r="D455" t="s">
        <v>10</v>
      </c>
      <c r="E455">
        <v>40</v>
      </c>
      <c r="F455" s="2" t="s">
        <v>14</v>
      </c>
      <c r="G455">
        <v>3</v>
      </c>
      <c r="H455">
        <v>25</v>
      </c>
      <c r="I455" s="8">
        <f>Table4[[#This Row],[Quantity]]*Table4[[#This Row],[Price per Unit]]</f>
        <v>75</v>
      </c>
      <c r="J455">
        <v>75</v>
      </c>
      <c r="K455" s="8" t="str">
        <f>IF(Table4[[#This Row],[Total Amount]]=Table4[[#This Row],[Calculated Total]],"Correct","Check")</f>
        <v>Correct</v>
      </c>
      <c r="L455" s="8"/>
    </row>
    <row r="456" spans="1:12">
      <c r="A456" s="2">
        <v>357</v>
      </c>
      <c r="B456" s="1">
        <v>45049</v>
      </c>
      <c r="C456" t="s">
        <v>370</v>
      </c>
      <c r="D456" t="s">
        <v>13</v>
      </c>
      <c r="E456">
        <v>40</v>
      </c>
      <c r="F456" s="2" t="s">
        <v>16</v>
      </c>
      <c r="G456">
        <v>3</v>
      </c>
      <c r="H456">
        <v>25</v>
      </c>
      <c r="I456" s="8">
        <f>Table4[[#This Row],[Quantity]]*Table4[[#This Row],[Price per Unit]]</f>
        <v>75</v>
      </c>
      <c r="J456">
        <v>75</v>
      </c>
      <c r="K456" s="8" t="str">
        <f>IF(Table4[[#This Row],[Total Amount]]=Table4[[#This Row],[Calculated Total]],"Correct","Check")</f>
        <v>Correct</v>
      </c>
      <c r="L456" s="8"/>
    </row>
    <row r="457" spans="1:12">
      <c r="A457" s="2">
        <v>797</v>
      </c>
      <c r="B457" s="1">
        <v>44933</v>
      </c>
      <c r="C457" t="s">
        <v>810</v>
      </c>
      <c r="D457" t="s">
        <v>10</v>
      </c>
      <c r="E457">
        <v>40</v>
      </c>
      <c r="F457" s="2" t="s">
        <v>14</v>
      </c>
      <c r="G457">
        <v>3</v>
      </c>
      <c r="H457">
        <v>25</v>
      </c>
      <c r="I457" s="8">
        <f>Table4[[#This Row],[Quantity]]*Table4[[#This Row],[Price per Unit]]</f>
        <v>75</v>
      </c>
      <c r="J457">
        <v>75</v>
      </c>
      <c r="K457" s="8" t="str">
        <f>IF(Table4[[#This Row],[Total Amount]]=Table4[[#This Row],[Calculated Total]],"Correct","Check")</f>
        <v>Correct</v>
      </c>
      <c r="L457" s="8"/>
    </row>
    <row r="458" spans="1:12" hidden="1">
      <c r="A458" s="2">
        <v>178</v>
      </c>
      <c r="B458" s="1">
        <v>45203</v>
      </c>
      <c r="C458" t="s">
        <v>191</v>
      </c>
      <c r="D458" t="s">
        <v>10</v>
      </c>
      <c r="E458">
        <v>40</v>
      </c>
      <c r="F458" s="2" t="s">
        <v>14</v>
      </c>
      <c r="G458">
        <v>2</v>
      </c>
      <c r="H458">
        <v>30</v>
      </c>
      <c r="I458" s="8">
        <f>Table4[[#This Row],[Quantity]]*Table4[[#This Row],[Price per Unit]]</f>
        <v>60</v>
      </c>
      <c r="J458">
        <v>60</v>
      </c>
      <c r="K458" s="8" t="str">
        <f>IF(Table4[[#This Row],[Total Amount]]=Table4[[#This Row],[Calculated Total]],"Correct","Check")</f>
        <v>Correct</v>
      </c>
      <c r="L458" s="8"/>
    </row>
    <row r="459" spans="1:12" hidden="1">
      <c r="A459" s="2">
        <v>123</v>
      </c>
      <c r="B459" s="1">
        <v>45061</v>
      </c>
      <c r="C459" t="s">
        <v>136</v>
      </c>
      <c r="D459" t="s">
        <v>13</v>
      </c>
      <c r="E459">
        <v>40</v>
      </c>
      <c r="F459" s="2" t="s">
        <v>16</v>
      </c>
      <c r="G459">
        <v>2</v>
      </c>
      <c r="H459">
        <v>30</v>
      </c>
      <c r="I459" s="8">
        <f>Table4[[#This Row],[Quantity]]*Table4[[#This Row],[Price per Unit]]</f>
        <v>60</v>
      </c>
      <c r="J459">
        <v>60</v>
      </c>
      <c r="K459" s="8" t="str">
        <f>IF(Table4[[#This Row],[Total Amount]]=Table4[[#This Row],[Calculated Total]],"Correct","Check")</f>
        <v>Correct</v>
      </c>
      <c r="L459" s="8"/>
    </row>
    <row r="460" spans="1:12" hidden="1">
      <c r="A460" s="2">
        <v>81</v>
      </c>
      <c r="B460" s="1">
        <v>45063</v>
      </c>
      <c r="C460" t="s">
        <v>94</v>
      </c>
      <c r="D460" t="s">
        <v>10</v>
      </c>
      <c r="E460">
        <v>40</v>
      </c>
      <c r="F460" s="2" t="s">
        <v>16</v>
      </c>
      <c r="G460">
        <v>1</v>
      </c>
      <c r="H460">
        <v>50</v>
      </c>
      <c r="I460" s="8">
        <f>Table4[[#This Row],[Quantity]]*Table4[[#This Row],[Price per Unit]]</f>
        <v>50</v>
      </c>
      <c r="J460">
        <v>50</v>
      </c>
      <c r="K460" s="8" t="str">
        <f>IF(Table4[[#This Row],[Total Amount]]=Table4[[#This Row],[Calculated Total]],"Correct","Check")</f>
        <v>Correct</v>
      </c>
      <c r="L460" s="8"/>
    </row>
    <row r="461" spans="1:12" hidden="1">
      <c r="A461" s="2">
        <v>460</v>
      </c>
      <c r="B461" s="1">
        <v>45048</v>
      </c>
      <c r="C461" t="s">
        <v>473</v>
      </c>
      <c r="D461" t="s">
        <v>10</v>
      </c>
      <c r="E461">
        <v>40</v>
      </c>
      <c r="F461" s="2" t="s">
        <v>11</v>
      </c>
      <c r="G461">
        <v>1</v>
      </c>
      <c r="H461">
        <v>50</v>
      </c>
      <c r="I461" s="8">
        <f>Table4[[#This Row],[Quantity]]*Table4[[#This Row],[Price per Unit]]</f>
        <v>50</v>
      </c>
      <c r="J461">
        <v>50</v>
      </c>
      <c r="K461" s="8" t="str">
        <f>IF(Table4[[#This Row],[Total Amount]]=Table4[[#This Row],[Calculated Total]],"Correct","Check")</f>
        <v>Correct</v>
      </c>
      <c r="L461" s="8"/>
    </row>
    <row r="462" spans="1:12" hidden="1">
      <c r="A462" s="2">
        <v>774</v>
      </c>
      <c r="B462" s="1">
        <v>45028</v>
      </c>
      <c r="C462" t="s">
        <v>787</v>
      </c>
      <c r="D462" t="s">
        <v>13</v>
      </c>
      <c r="E462">
        <v>40</v>
      </c>
      <c r="F462" s="2" t="s">
        <v>14</v>
      </c>
      <c r="G462">
        <v>2</v>
      </c>
      <c r="H462">
        <v>25</v>
      </c>
      <c r="I462" s="8">
        <f>Table4[[#This Row],[Quantity]]*Table4[[#This Row],[Price per Unit]]</f>
        <v>50</v>
      </c>
      <c r="J462">
        <v>50</v>
      </c>
      <c r="K462" s="8" t="str">
        <f>IF(Table4[[#This Row],[Total Amount]]=Table4[[#This Row],[Calculated Total]],"Correct","Check")</f>
        <v>Correct</v>
      </c>
      <c r="L462" s="8"/>
    </row>
    <row r="463" spans="1:12" hidden="1">
      <c r="A463" s="2">
        <v>518</v>
      </c>
      <c r="B463" s="1">
        <v>45057</v>
      </c>
      <c r="C463" t="s">
        <v>531</v>
      </c>
      <c r="D463" t="s">
        <v>13</v>
      </c>
      <c r="E463">
        <v>40</v>
      </c>
      <c r="F463" s="2" t="s">
        <v>14</v>
      </c>
      <c r="G463">
        <v>1</v>
      </c>
      <c r="H463">
        <v>30</v>
      </c>
      <c r="I463" s="8">
        <f>Table4[[#This Row],[Quantity]]*Table4[[#This Row],[Price per Unit]]</f>
        <v>30</v>
      </c>
      <c r="J463">
        <v>30</v>
      </c>
      <c r="K463" s="8" t="str">
        <f>IF(Table4[[#This Row],[Total Amount]]=Table4[[#This Row],[Calculated Total]],"Correct","Check")</f>
        <v>Correct</v>
      </c>
      <c r="L463" s="8"/>
    </row>
    <row r="464" spans="1:12" hidden="1">
      <c r="A464" s="2">
        <v>468</v>
      </c>
      <c r="B464" s="1">
        <v>45269</v>
      </c>
      <c r="C464" t="s">
        <v>481</v>
      </c>
      <c r="D464" t="s">
        <v>10</v>
      </c>
      <c r="E464">
        <v>40</v>
      </c>
      <c r="F464" s="2" t="s">
        <v>16</v>
      </c>
      <c r="G464">
        <v>1</v>
      </c>
      <c r="H464">
        <v>25</v>
      </c>
      <c r="I464" s="8">
        <f>Table4[[#This Row],[Quantity]]*Table4[[#This Row],[Price per Unit]]</f>
        <v>25</v>
      </c>
      <c r="J464">
        <v>25</v>
      </c>
      <c r="K464" s="8" t="str">
        <f>IF(Table4[[#This Row],[Total Amount]]=Table4[[#This Row],[Calculated Total]],"Correct","Check")</f>
        <v>Correct</v>
      </c>
      <c r="L464" s="8"/>
    </row>
    <row r="465" spans="1:12" hidden="1">
      <c r="A465" s="2">
        <v>744</v>
      </c>
      <c r="B465" s="1">
        <v>45053</v>
      </c>
      <c r="C465" t="s">
        <v>757</v>
      </c>
      <c r="D465" t="s">
        <v>10</v>
      </c>
      <c r="E465">
        <v>40</v>
      </c>
      <c r="F465" s="2" t="s">
        <v>16</v>
      </c>
      <c r="G465">
        <v>1</v>
      </c>
      <c r="H465">
        <v>25</v>
      </c>
      <c r="I465" s="8">
        <f>Table4[[#This Row],[Quantity]]*Table4[[#This Row],[Price per Unit]]</f>
        <v>25</v>
      </c>
      <c r="J465">
        <v>25</v>
      </c>
      <c r="K465" s="8" t="str">
        <f>IF(Table4[[#This Row],[Total Amount]]=Table4[[#This Row],[Calculated Total]],"Correct","Check")</f>
        <v>Correct</v>
      </c>
      <c r="L465" s="8"/>
    </row>
    <row r="466" spans="1:12" hidden="1">
      <c r="A466" s="2">
        <v>657</v>
      </c>
      <c r="B466" s="1">
        <v>44968</v>
      </c>
      <c r="C466" t="s">
        <v>670</v>
      </c>
      <c r="D466" t="s">
        <v>10</v>
      </c>
      <c r="E466">
        <v>40</v>
      </c>
      <c r="F466" s="2" t="s">
        <v>14</v>
      </c>
      <c r="G466">
        <v>1</v>
      </c>
      <c r="H466">
        <v>25</v>
      </c>
      <c r="I466" s="8">
        <f>Table4[[#This Row],[Quantity]]*Table4[[#This Row],[Price per Unit]]</f>
        <v>25</v>
      </c>
      <c r="J466">
        <v>25</v>
      </c>
      <c r="K466" s="8" t="str">
        <f>IF(Table4[[#This Row],[Total Amount]]=Table4[[#This Row],[Calculated Total]],"Correct","Check")</f>
        <v>Correct</v>
      </c>
      <c r="L466" s="8"/>
    </row>
    <row r="467" spans="1:12" hidden="1">
      <c r="A467" s="2">
        <v>764</v>
      </c>
      <c r="B467" s="1">
        <v>45010</v>
      </c>
      <c r="C467" t="s">
        <v>777</v>
      </c>
      <c r="D467" t="s">
        <v>13</v>
      </c>
      <c r="E467">
        <v>40</v>
      </c>
      <c r="F467" s="2" t="s">
        <v>14</v>
      </c>
      <c r="G467">
        <v>1</v>
      </c>
      <c r="H467">
        <v>25</v>
      </c>
      <c r="I467" s="8">
        <f>Table4[[#This Row],[Quantity]]*Table4[[#This Row],[Price per Unit]]</f>
        <v>25</v>
      </c>
      <c r="J467">
        <v>25</v>
      </c>
      <c r="K467" s="8" t="str">
        <f>IF(Table4[[#This Row],[Total Amount]]=Table4[[#This Row],[Calculated Total]],"Correct","Check")</f>
        <v>Correct</v>
      </c>
      <c r="L467" s="8"/>
    </row>
    <row r="468" spans="1:12">
      <c r="A468" s="2">
        <v>693</v>
      </c>
      <c r="B468" s="1">
        <v>45039</v>
      </c>
      <c r="C468" t="s">
        <v>706</v>
      </c>
      <c r="D468" t="s">
        <v>10</v>
      </c>
      <c r="E468">
        <v>41</v>
      </c>
      <c r="F468" s="2" t="s">
        <v>11</v>
      </c>
      <c r="G468">
        <v>3</v>
      </c>
      <c r="H468">
        <v>500</v>
      </c>
      <c r="I468" s="8">
        <f>Table4[[#This Row],[Quantity]]*Table4[[#This Row],[Price per Unit]]</f>
        <v>1500</v>
      </c>
      <c r="J468">
        <v>1500</v>
      </c>
      <c r="K468" s="8" t="str">
        <f>IF(Table4[[#This Row],[Total Amount]]=Table4[[#This Row],[Calculated Total]],"Correct","Check")</f>
        <v>Correct</v>
      </c>
      <c r="L468" s="8"/>
    </row>
    <row r="469" spans="1:12">
      <c r="A469" s="2">
        <v>180</v>
      </c>
      <c r="B469" s="1">
        <v>44927</v>
      </c>
      <c r="C469" t="s">
        <v>193</v>
      </c>
      <c r="D469" t="s">
        <v>10</v>
      </c>
      <c r="E469">
        <v>41</v>
      </c>
      <c r="F469" s="2" t="s">
        <v>14</v>
      </c>
      <c r="G469">
        <v>3</v>
      </c>
      <c r="H469">
        <v>300</v>
      </c>
      <c r="I469" s="8">
        <f>Table4[[#This Row],[Quantity]]*Table4[[#This Row],[Price per Unit]]</f>
        <v>900</v>
      </c>
      <c r="J469">
        <v>900</v>
      </c>
      <c r="K469" s="8" t="str">
        <f>IF(Table4[[#This Row],[Total Amount]]=Table4[[#This Row],[Calculated Total]],"Correct","Check")</f>
        <v>Correct</v>
      </c>
      <c r="L469" s="8"/>
    </row>
    <row r="470" spans="1:12">
      <c r="A470" s="2">
        <v>891</v>
      </c>
      <c r="B470" s="1">
        <v>45021</v>
      </c>
      <c r="C470" t="s">
        <v>904</v>
      </c>
      <c r="D470" t="s">
        <v>10</v>
      </c>
      <c r="E470">
        <v>41</v>
      </c>
      <c r="F470" s="2" t="s">
        <v>16</v>
      </c>
      <c r="G470">
        <v>3</v>
      </c>
      <c r="H470">
        <v>300</v>
      </c>
      <c r="I470" s="8">
        <f>Table4[[#This Row],[Quantity]]*Table4[[#This Row],[Price per Unit]]</f>
        <v>900</v>
      </c>
      <c r="J470">
        <v>900</v>
      </c>
      <c r="K470" s="8" t="str">
        <f>IF(Table4[[#This Row],[Total Amount]]=Table4[[#This Row],[Calculated Total]],"Correct","Check")</f>
        <v>Correct</v>
      </c>
      <c r="L470" s="8"/>
    </row>
    <row r="471" spans="1:12" hidden="1">
      <c r="A471" s="2">
        <v>402</v>
      </c>
      <c r="B471" s="1">
        <v>45006</v>
      </c>
      <c r="C471" t="s">
        <v>415</v>
      </c>
      <c r="D471" t="s">
        <v>13</v>
      </c>
      <c r="E471">
        <v>41</v>
      </c>
      <c r="F471" s="2" t="s">
        <v>14</v>
      </c>
      <c r="G471">
        <v>2</v>
      </c>
      <c r="H471">
        <v>300</v>
      </c>
      <c r="I471" s="8">
        <f>Table4[[#This Row],[Quantity]]*Table4[[#This Row],[Price per Unit]]</f>
        <v>600</v>
      </c>
      <c r="J471">
        <v>600</v>
      </c>
      <c r="K471" s="8" t="str">
        <f>IF(Table4[[#This Row],[Total Amount]]=Table4[[#This Row],[Calculated Total]],"Correct","Check")</f>
        <v>Correct</v>
      </c>
      <c r="L471" s="8"/>
    </row>
    <row r="472" spans="1:12" hidden="1">
      <c r="A472" s="2">
        <v>254</v>
      </c>
      <c r="B472" s="1">
        <v>45135</v>
      </c>
      <c r="C472" t="s">
        <v>267</v>
      </c>
      <c r="D472" t="s">
        <v>10</v>
      </c>
      <c r="E472">
        <v>41</v>
      </c>
      <c r="F472" s="2" t="s">
        <v>16</v>
      </c>
      <c r="G472">
        <v>1</v>
      </c>
      <c r="H472">
        <v>500</v>
      </c>
      <c r="I472" s="8">
        <f>Table4[[#This Row],[Quantity]]*Table4[[#This Row],[Price per Unit]]</f>
        <v>500</v>
      </c>
      <c r="J472">
        <v>500</v>
      </c>
      <c r="K472" s="8" t="str">
        <f>IF(Table4[[#This Row],[Total Amount]]=Table4[[#This Row],[Calculated Total]],"Correct","Check")</f>
        <v>Correct</v>
      </c>
      <c r="L472" s="8"/>
    </row>
    <row r="473" spans="1:12" hidden="1">
      <c r="A473" s="2">
        <v>852</v>
      </c>
      <c r="B473" s="1">
        <v>45211</v>
      </c>
      <c r="C473" t="s">
        <v>865</v>
      </c>
      <c r="D473" t="s">
        <v>13</v>
      </c>
      <c r="E473">
        <v>41</v>
      </c>
      <c r="F473" s="2" t="s">
        <v>14</v>
      </c>
      <c r="G473">
        <v>1</v>
      </c>
      <c r="H473">
        <v>300</v>
      </c>
      <c r="I473" s="8">
        <f>Table4[[#This Row],[Quantity]]*Table4[[#This Row],[Price per Unit]]</f>
        <v>300</v>
      </c>
      <c r="J473">
        <v>300</v>
      </c>
      <c r="K473" s="8" t="str">
        <f>IF(Table4[[#This Row],[Total Amount]]=Table4[[#This Row],[Calculated Total]],"Correct","Check")</f>
        <v>Correct</v>
      </c>
      <c r="L473" s="8"/>
    </row>
    <row r="474" spans="1:12">
      <c r="A474" s="2">
        <v>312</v>
      </c>
      <c r="B474" s="1">
        <v>45176</v>
      </c>
      <c r="C474" t="s">
        <v>325</v>
      </c>
      <c r="D474" t="s">
        <v>10</v>
      </c>
      <c r="E474">
        <v>41</v>
      </c>
      <c r="F474" s="2" t="s">
        <v>14</v>
      </c>
      <c r="G474">
        <v>4</v>
      </c>
      <c r="H474">
        <v>30</v>
      </c>
      <c r="I474" s="8">
        <f>Table4[[#This Row],[Quantity]]*Table4[[#This Row],[Price per Unit]]</f>
        <v>120</v>
      </c>
      <c r="J474">
        <v>120</v>
      </c>
      <c r="K474" s="8" t="str">
        <f>IF(Table4[[#This Row],[Total Amount]]=Table4[[#This Row],[Calculated Total]],"Correct","Check")</f>
        <v>Correct</v>
      </c>
      <c r="L474" s="8"/>
    </row>
    <row r="475" spans="1:12">
      <c r="A475" s="2">
        <v>497</v>
      </c>
      <c r="B475" s="1">
        <v>45201</v>
      </c>
      <c r="C475" t="s">
        <v>510</v>
      </c>
      <c r="D475" t="s">
        <v>10</v>
      </c>
      <c r="E475">
        <v>41</v>
      </c>
      <c r="F475" s="2" t="s">
        <v>14</v>
      </c>
      <c r="G475">
        <v>4</v>
      </c>
      <c r="H475">
        <v>30</v>
      </c>
      <c r="I475" s="8">
        <f>Table4[[#This Row],[Quantity]]*Table4[[#This Row],[Price per Unit]]</f>
        <v>120</v>
      </c>
      <c r="J475">
        <v>120</v>
      </c>
      <c r="K475" s="8" t="str">
        <f>IF(Table4[[#This Row],[Total Amount]]=Table4[[#This Row],[Calculated Total]],"Correct","Check")</f>
        <v>Correct</v>
      </c>
      <c r="L475" s="8"/>
    </row>
    <row r="476" spans="1:12" hidden="1">
      <c r="A476" s="2">
        <v>616</v>
      </c>
      <c r="B476" s="1">
        <v>45192</v>
      </c>
      <c r="C476" t="s">
        <v>629</v>
      </c>
      <c r="D476" t="s">
        <v>10</v>
      </c>
      <c r="E476">
        <v>41</v>
      </c>
      <c r="F476" s="2" t="s">
        <v>14</v>
      </c>
      <c r="G476">
        <v>2</v>
      </c>
      <c r="H476">
        <v>50</v>
      </c>
      <c r="I476" s="8">
        <f>Table4[[#This Row],[Quantity]]*Table4[[#This Row],[Price per Unit]]</f>
        <v>100</v>
      </c>
      <c r="J476">
        <v>100</v>
      </c>
      <c r="K476" s="8" t="str">
        <f>IF(Table4[[#This Row],[Total Amount]]=Table4[[#This Row],[Calculated Total]],"Correct","Check")</f>
        <v>Correct</v>
      </c>
      <c r="L476" s="8"/>
    </row>
    <row r="477" spans="1:12" hidden="1">
      <c r="A477" s="2">
        <v>738</v>
      </c>
      <c r="B477" s="1">
        <v>45041</v>
      </c>
      <c r="C477" t="s">
        <v>751</v>
      </c>
      <c r="D477" t="s">
        <v>10</v>
      </c>
      <c r="E477">
        <v>41</v>
      </c>
      <c r="F477" s="2" t="s">
        <v>14</v>
      </c>
      <c r="G477">
        <v>2</v>
      </c>
      <c r="H477">
        <v>50</v>
      </c>
      <c r="I477" s="8">
        <f>Table4[[#This Row],[Quantity]]*Table4[[#This Row],[Price per Unit]]</f>
        <v>100</v>
      </c>
      <c r="J477">
        <v>100</v>
      </c>
      <c r="K477" s="8" t="str">
        <f>IF(Table4[[#This Row],[Total Amount]]=Table4[[#This Row],[Calculated Total]],"Correct","Check")</f>
        <v>Correct</v>
      </c>
      <c r="L477" s="8"/>
    </row>
    <row r="478" spans="1:12">
      <c r="A478" s="2">
        <v>861</v>
      </c>
      <c r="B478" s="1">
        <v>44974</v>
      </c>
      <c r="C478" t="s">
        <v>874</v>
      </c>
      <c r="D478" t="s">
        <v>13</v>
      </c>
      <c r="E478">
        <v>41</v>
      </c>
      <c r="F478" s="2" t="s">
        <v>14</v>
      </c>
      <c r="G478">
        <v>3</v>
      </c>
      <c r="H478">
        <v>30</v>
      </c>
      <c r="I478" s="8">
        <f>Table4[[#This Row],[Quantity]]*Table4[[#This Row],[Price per Unit]]</f>
        <v>90</v>
      </c>
      <c r="J478">
        <v>90</v>
      </c>
      <c r="K478" s="8" t="str">
        <f>IF(Table4[[#This Row],[Total Amount]]=Table4[[#This Row],[Calculated Total]],"Correct","Check")</f>
        <v>Correct</v>
      </c>
      <c r="L478" s="8"/>
    </row>
    <row r="479" spans="1:12" hidden="1">
      <c r="A479" s="2">
        <v>247</v>
      </c>
      <c r="B479" s="1">
        <v>45203</v>
      </c>
      <c r="C479" t="s">
        <v>260</v>
      </c>
      <c r="D479" t="s">
        <v>10</v>
      </c>
      <c r="E479">
        <v>41</v>
      </c>
      <c r="F479" s="2" t="s">
        <v>16</v>
      </c>
      <c r="G479">
        <v>2</v>
      </c>
      <c r="H479">
        <v>30</v>
      </c>
      <c r="I479" s="8">
        <f>Table4[[#This Row],[Quantity]]*Table4[[#This Row],[Price per Unit]]</f>
        <v>60</v>
      </c>
      <c r="J479">
        <v>60</v>
      </c>
      <c r="K479" s="8" t="str">
        <f>IF(Table4[[#This Row],[Total Amount]]=Table4[[#This Row],[Calculated Total]],"Correct","Check")</f>
        <v>Correct</v>
      </c>
      <c r="L479" s="8"/>
    </row>
    <row r="480" spans="1:12" hidden="1">
      <c r="A480" s="2">
        <v>113</v>
      </c>
      <c r="B480" s="1">
        <v>45182</v>
      </c>
      <c r="C480" t="s">
        <v>126</v>
      </c>
      <c r="D480" t="s">
        <v>13</v>
      </c>
      <c r="E480">
        <v>41</v>
      </c>
      <c r="F480" s="2" t="s">
        <v>16</v>
      </c>
      <c r="G480">
        <v>2</v>
      </c>
      <c r="H480">
        <v>25</v>
      </c>
      <c r="I480" s="8">
        <f>Table4[[#This Row],[Quantity]]*Table4[[#This Row],[Price per Unit]]</f>
        <v>50</v>
      </c>
      <c r="J480">
        <v>50</v>
      </c>
      <c r="K480" s="8" t="str">
        <f>IF(Table4[[#This Row],[Total Amount]]=Table4[[#This Row],[Calculated Total]],"Correct","Check")</f>
        <v>Correct</v>
      </c>
      <c r="L480" s="8"/>
    </row>
    <row r="481" spans="1:12" hidden="1">
      <c r="A481" s="2">
        <v>493</v>
      </c>
      <c r="B481" s="1">
        <v>45255</v>
      </c>
      <c r="C481" t="s">
        <v>506</v>
      </c>
      <c r="D481" t="s">
        <v>10</v>
      </c>
      <c r="E481">
        <v>41</v>
      </c>
      <c r="F481" s="2" t="s">
        <v>11</v>
      </c>
      <c r="G481">
        <v>2</v>
      </c>
      <c r="H481">
        <v>25</v>
      </c>
      <c r="I481" s="8">
        <f>Table4[[#This Row],[Quantity]]*Table4[[#This Row],[Price per Unit]]</f>
        <v>50</v>
      </c>
      <c r="J481">
        <v>50</v>
      </c>
      <c r="K481" s="8" t="str">
        <f>IF(Table4[[#This Row],[Total Amount]]=Table4[[#This Row],[Calculated Total]],"Correct","Check")</f>
        <v>Correct</v>
      </c>
      <c r="L481" s="8"/>
    </row>
    <row r="482" spans="1:12" hidden="1">
      <c r="A482" s="2">
        <v>571</v>
      </c>
      <c r="B482" s="1">
        <v>45272</v>
      </c>
      <c r="C482" t="s">
        <v>584</v>
      </c>
      <c r="D482" t="s">
        <v>13</v>
      </c>
      <c r="E482">
        <v>41</v>
      </c>
      <c r="F482" s="2" t="s">
        <v>16</v>
      </c>
      <c r="G482">
        <v>1</v>
      </c>
      <c r="H482">
        <v>50</v>
      </c>
      <c r="I482" s="8">
        <f>Table4[[#This Row],[Quantity]]*Table4[[#This Row],[Price per Unit]]</f>
        <v>50</v>
      </c>
      <c r="J482">
        <v>50</v>
      </c>
      <c r="K482" s="8" t="str">
        <f>IF(Table4[[#This Row],[Total Amount]]=Table4[[#This Row],[Calculated Total]],"Correct","Check")</f>
        <v>Correct</v>
      </c>
      <c r="L482" s="8"/>
    </row>
    <row r="483" spans="1:12" hidden="1">
      <c r="A483" s="2">
        <v>922</v>
      </c>
      <c r="B483" s="1">
        <v>45220</v>
      </c>
      <c r="C483" t="s">
        <v>935</v>
      </c>
      <c r="D483" t="s">
        <v>10</v>
      </c>
      <c r="E483">
        <v>41</v>
      </c>
      <c r="F483" s="2" t="s">
        <v>16</v>
      </c>
      <c r="G483">
        <v>1</v>
      </c>
      <c r="H483">
        <v>50</v>
      </c>
      <c r="I483" s="8">
        <f>Table4[[#This Row],[Quantity]]*Table4[[#This Row],[Price per Unit]]</f>
        <v>50</v>
      </c>
      <c r="J483">
        <v>50</v>
      </c>
      <c r="K483" s="8" t="str">
        <f>IF(Table4[[#This Row],[Total Amount]]=Table4[[#This Row],[Calculated Total]],"Correct","Check")</f>
        <v>Correct</v>
      </c>
      <c r="L483" s="8"/>
    </row>
    <row r="484" spans="1:12" hidden="1">
      <c r="A484" s="2">
        <v>949</v>
      </c>
      <c r="B484" s="1">
        <v>45140</v>
      </c>
      <c r="C484" t="s">
        <v>962</v>
      </c>
      <c r="D484" t="s">
        <v>13</v>
      </c>
      <c r="E484">
        <v>41</v>
      </c>
      <c r="F484" s="2" t="s">
        <v>16</v>
      </c>
      <c r="G484">
        <v>2</v>
      </c>
      <c r="H484">
        <v>25</v>
      </c>
      <c r="I484" s="8">
        <f>Table4[[#This Row],[Quantity]]*Table4[[#This Row],[Price per Unit]]</f>
        <v>50</v>
      </c>
      <c r="J484">
        <v>50</v>
      </c>
      <c r="K484" s="8" t="str">
        <f>IF(Table4[[#This Row],[Total Amount]]=Table4[[#This Row],[Calculated Total]],"Correct","Check")</f>
        <v>Correct</v>
      </c>
      <c r="L484" s="8"/>
    </row>
    <row r="485" spans="1:12" hidden="1">
      <c r="A485" s="2">
        <v>100</v>
      </c>
      <c r="B485" s="1">
        <v>45093</v>
      </c>
      <c r="C485" t="s">
        <v>113</v>
      </c>
      <c r="D485" t="s">
        <v>10</v>
      </c>
      <c r="E485">
        <v>41</v>
      </c>
      <c r="F485" s="2" t="s">
        <v>16</v>
      </c>
      <c r="G485">
        <v>1</v>
      </c>
      <c r="H485">
        <v>30</v>
      </c>
      <c r="I485" s="8">
        <f>Table4[[#This Row],[Quantity]]*Table4[[#This Row],[Price per Unit]]</f>
        <v>30</v>
      </c>
      <c r="J485">
        <v>30</v>
      </c>
      <c r="K485" s="8" t="str">
        <f>IF(Table4[[#This Row],[Total Amount]]=Table4[[#This Row],[Calculated Total]],"Correct","Check")</f>
        <v>Correct</v>
      </c>
      <c r="L485" s="8"/>
    </row>
    <row r="486" spans="1:12" hidden="1">
      <c r="A486" s="2">
        <v>995</v>
      </c>
      <c r="B486" s="1">
        <v>45046</v>
      </c>
      <c r="C486" t="s">
        <v>1008</v>
      </c>
      <c r="D486" t="s">
        <v>13</v>
      </c>
      <c r="E486">
        <v>41</v>
      </c>
      <c r="F486" s="2" t="s">
        <v>14</v>
      </c>
      <c r="G486">
        <v>1</v>
      </c>
      <c r="H486">
        <v>30</v>
      </c>
      <c r="I486" s="8">
        <f>Table4[[#This Row],[Quantity]]*Table4[[#This Row],[Price per Unit]]</f>
        <v>30</v>
      </c>
      <c r="J486">
        <v>30</v>
      </c>
      <c r="K486" s="8" t="str">
        <f>IF(Table4[[#This Row],[Total Amount]]=Table4[[#This Row],[Calculated Total]],"Correct","Check")</f>
        <v>Correct</v>
      </c>
      <c r="L486" s="8"/>
    </row>
    <row r="487" spans="1:12" hidden="1">
      <c r="A487" s="2">
        <v>787</v>
      </c>
      <c r="B487" s="1">
        <v>44948</v>
      </c>
      <c r="C487" t="s">
        <v>800</v>
      </c>
      <c r="D487" t="s">
        <v>10</v>
      </c>
      <c r="E487">
        <v>41</v>
      </c>
      <c r="F487" s="2" t="s">
        <v>16</v>
      </c>
      <c r="G487">
        <v>1</v>
      </c>
      <c r="H487">
        <v>25</v>
      </c>
      <c r="I487" s="8">
        <f>Table4[[#This Row],[Quantity]]*Table4[[#This Row],[Price per Unit]]</f>
        <v>25</v>
      </c>
      <c r="J487">
        <v>25</v>
      </c>
      <c r="K487" s="8" t="str">
        <f>IF(Table4[[#This Row],[Total Amount]]=Table4[[#This Row],[Calculated Total]],"Correct","Check")</f>
        <v>Correct</v>
      </c>
      <c r="L487" s="8"/>
    </row>
    <row r="488" spans="1:12" hidden="1">
      <c r="A488" s="2">
        <v>558</v>
      </c>
      <c r="B488" s="1">
        <v>45207</v>
      </c>
      <c r="C488" t="s">
        <v>571</v>
      </c>
      <c r="D488" t="s">
        <v>13</v>
      </c>
      <c r="E488">
        <v>41</v>
      </c>
      <c r="F488" s="2" t="s">
        <v>14</v>
      </c>
      <c r="G488">
        <v>1</v>
      </c>
      <c r="H488">
        <v>25</v>
      </c>
      <c r="I488" s="8">
        <f>Table4[[#This Row],[Quantity]]*Table4[[#This Row],[Price per Unit]]</f>
        <v>25</v>
      </c>
      <c r="J488">
        <v>25</v>
      </c>
      <c r="K488" s="8" t="str">
        <f>IF(Table4[[#This Row],[Total Amount]]=Table4[[#This Row],[Calculated Total]],"Correct","Check")</f>
        <v>Correct</v>
      </c>
      <c r="L488" s="8"/>
    </row>
    <row r="489" spans="1:12">
      <c r="A489" s="2">
        <v>15</v>
      </c>
      <c r="B489" s="1">
        <v>44942</v>
      </c>
      <c r="C489" t="s">
        <v>28</v>
      </c>
      <c r="D489" t="s">
        <v>13</v>
      </c>
      <c r="E489">
        <v>42</v>
      </c>
      <c r="F489" s="2" t="s">
        <v>16</v>
      </c>
      <c r="G489">
        <v>4</v>
      </c>
      <c r="H489">
        <v>500</v>
      </c>
      <c r="I489" s="8">
        <f>Table4[[#This Row],[Quantity]]*Table4[[#This Row],[Price per Unit]]</f>
        <v>2000</v>
      </c>
      <c r="J489">
        <v>2000</v>
      </c>
      <c r="K489" s="8" t="str">
        <f>IF(Table4[[#This Row],[Total Amount]]=Table4[[#This Row],[Calculated Total]],"Correct","Check")</f>
        <v>Correct</v>
      </c>
      <c r="L489" s="8"/>
    </row>
    <row r="490" spans="1:12">
      <c r="A490" s="2">
        <v>480</v>
      </c>
      <c r="B490" s="1">
        <v>45106</v>
      </c>
      <c r="C490" t="s">
        <v>493</v>
      </c>
      <c r="D490" t="s">
        <v>13</v>
      </c>
      <c r="E490">
        <v>42</v>
      </c>
      <c r="F490" s="2" t="s">
        <v>11</v>
      </c>
      <c r="G490">
        <v>4</v>
      </c>
      <c r="H490">
        <v>500</v>
      </c>
      <c r="I490" s="8">
        <f>Table4[[#This Row],[Quantity]]*Table4[[#This Row],[Price per Unit]]</f>
        <v>2000</v>
      </c>
      <c r="J490">
        <v>2000</v>
      </c>
      <c r="K490" s="8" t="str">
        <f>IF(Table4[[#This Row],[Total Amount]]=Table4[[#This Row],[Calculated Total]],"Correct","Check")</f>
        <v>Correct</v>
      </c>
      <c r="L490" s="8"/>
    </row>
    <row r="491" spans="1:12">
      <c r="A491" s="2">
        <v>211</v>
      </c>
      <c r="B491" s="1">
        <v>45292</v>
      </c>
      <c r="C491" t="s">
        <v>224</v>
      </c>
      <c r="D491" t="s">
        <v>10</v>
      </c>
      <c r="E491">
        <v>42</v>
      </c>
      <c r="F491" s="2" t="s">
        <v>11</v>
      </c>
      <c r="G491">
        <v>3</v>
      </c>
      <c r="H491">
        <v>500</v>
      </c>
      <c r="I491" s="8">
        <f>Table4[[#This Row],[Quantity]]*Table4[[#This Row],[Price per Unit]]</f>
        <v>1500</v>
      </c>
      <c r="J491">
        <v>1500</v>
      </c>
      <c r="K491" s="8" t="str">
        <f>IF(Table4[[#This Row],[Total Amount]]=Table4[[#This Row],[Calculated Total]],"Correct","Check")</f>
        <v>Correct</v>
      </c>
      <c r="L491" s="8"/>
    </row>
    <row r="492" spans="1:12">
      <c r="A492" s="2">
        <v>911</v>
      </c>
      <c r="B492" s="1">
        <v>45067</v>
      </c>
      <c r="C492" t="s">
        <v>924</v>
      </c>
      <c r="D492" t="s">
        <v>10</v>
      </c>
      <c r="E492">
        <v>42</v>
      </c>
      <c r="F492" s="2" t="s">
        <v>16</v>
      </c>
      <c r="G492">
        <v>3</v>
      </c>
      <c r="H492">
        <v>300</v>
      </c>
      <c r="I492" s="8">
        <f>Table4[[#This Row],[Quantity]]*Table4[[#This Row],[Price per Unit]]</f>
        <v>900</v>
      </c>
      <c r="J492">
        <v>900</v>
      </c>
      <c r="K492" s="8" t="str">
        <f>IF(Table4[[#This Row],[Total Amount]]=Table4[[#This Row],[Calculated Total]],"Correct","Check")</f>
        <v>Correct</v>
      </c>
      <c r="L492" s="8"/>
    </row>
    <row r="493" spans="1:12" hidden="1">
      <c r="A493" s="2">
        <v>865</v>
      </c>
      <c r="B493" s="1">
        <v>45281</v>
      </c>
      <c r="C493" t="s">
        <v>878</v>
      </c>
      <c r="D493" t="s">
        <v>13</v>
      </c>
      <c r="E493">
        <v>42</v>
      </c>
      <c r="F493" s="2" t="s">
        <v>14</v>
      </c>
      <c r="G493">
        <v>1</v>
      </c>
      <c r="H493">
        <v>300</v>
      </c>
      <c r="I493" s="8">
        <f>Table4[[#This Row],[Quantity]]*Table4[[#This Row],[Price per Unit]]</f>
        <v>300</v>
      </c>
      <c r="J493">
        <v>300</v>
      </c>
      <c r="K493" s="8" t="str">
        <f>IF(Table4[[#This Row],[Total Amount]]=Table4[[#This Row],[Calculated Total]],"Correct","Check")</f>
        <v>Correct</v>
      </c>
      <c r="L493" s="8"/>
    </row>
    <row r="494" spans="1:12">
      <c r="A494" s="2">
        <v>197</v>
      </c>
      <c r="B494" s="1">
        <v>44991</v>
      </c>
      <c r="C494" t="s">
        <v>210</v>
      </c>
      <c r="D494" t="s">
        <v>13</v>
      </c>
      <c r="E494">
        <v>42</v>
      </c>
      <c r="F494" s="2" t="s">
        <v>14</v>
      </c>
      <c r="G494">
        <v>4</v>
      </c>
      <c r="H494">
        <v>50</v>
      </c>
      <c r="I494" s="8">
        <f>Table4[[#This Row],[Quantity]]*Table4[[#This Row],[Price per Unit]]</f>
        <v>200</v>
      </c>
      <c r="J494">
        <v>200</v>
      </c>
      <c r="K494" s="8" t="str">
        <f>IF(Table4[[#This Row],[Total Amount]]=Table4[[#This Row],[Calculated Total]],"Correct","Check")</f>
        <v>Correct</v>
      </c>
      <c r="L494" s="8"/>
    </row>
    <row r="495" spans="1:12">
      <c r="A495" s="2">
        <v>132</v>
      </c>
      <c r="B495" s="1">
        <v>45179</v>
      </c>
      <c r="C495" t="s">
        <v>145</v>
      </c>
      <c r="D495" t="s">
        <v>10</v>
      </c>
      <c r="E495">
        <v>42</v>
      </c>
      <c r="F495" s="2" t="s">
        <v>16</v>
      </c>
      <c r="G495">
        <v>4</v>
      </c>
      <c r="H495">
        <v>50</v>
      </c>
      <c r="I495" s="8">
        <f>Table4[[#This Row],[Quantity]]*Table4[[#This Row],[Price per Unit]]</f>
        <v>200</v>
      </c>
      <c r="J495">
        <v>200</v>
      </c>
      <c r="K495" s="8" t="str">
        <f>IF(Table4[[#This Row],[Total Amount]]=Table4[[#This Row],[Calculated Total]],"Correct","Check")</f>
        <v>Correct</v>
      </c>
      <c r="L495" s="8"/>
    </row>
    <row r="496" spans="1:12">
      <c r="A496" s="2">
        <v>494</v>
      </c>
      <c r="B496" s="1">
        <v>45187</v>
      </c>
      <c r="C496" t="s">
        <v>507</v>
      </c>
      <c r="D496" t="s">
        <v>13</v>
      </c>
      <c r="E496">
        <v>42</v>
      </c>
      <c r="F496" s="2" t="s">
        <v>11</v>
      </c>
      <c r="G496">
        <v>4</v>
      </c>
      <c r="H496">
        <v>50</v>
      </c>
      <c r="I496" s="8">
        <f>Table4[[#This Row],[Quantity]]*Table4[[#This Row],[Price per Unit]]</f>
        <v>200</v>
      </c>
      <c r="J496">
        <v>200</v>
      </c>
      <c r="K496" s="8" t="str">
        <f>IF(Table4[[#This Row],[Total Amount]]=Table4[[#This Row],[Calculated Total]],"Correct","Check")</f>
        <v>Correct</v>
      </c>
      <c r="L496" s="8"/>
    </row>
    <row r="497" spans="1:12">
      <c r="A497" s="2">
        <v>833</v>
      </c>
      <c r="B497" s="1">
        <v>45093</v>
      </c>
      <c r="C497" t="s">
        <v>846</v>
      </c>
      <c r="D497" t="s">
        <v>10</v>
      </c>
      <c r="E497">
        <v>42</v>
      </c>
      <c r="F497" s="2" t="s">
        <v>11</v>
      </c>
      <c r="G497">
        <v>4</v>
      </c>
      <c r="H497">
        <v>50</v>
      </c>
      <c r="I497" s="8">
        <f>Table4[[#This Row],[Quantity]]*Table4[[#This Row],[Price per Unit]]</f>
        <v>200</v>
      </c>
      <c r="J497">
        <v>200</v>
      </c>
      <c r="K497" s="8" t="str">
        <f>IF(Table4[[#This Row],[Total Amount]]=Table4[[#This Row],[Calculated Total]],"Correct","Check")</f>
        <v>Correct</v>
      </c>
      <c r="L497" s="8"/>
    </row>
    <row r="498" spans="1:12">
      <c r="A498" s="2">
        <v>360</v>
      </c>
      <c r="B498" s="1">
        <v>44994</v>
      </c>
      <c r="C498" t="s">
        <v>373</v>
      </c>
      <c r="D498" t="s">
        <v>10</v>
      </c>
      <c r="E498">
        <v>42</v>
      </c>
      <c r="F498" s="2" t="s">
        <v>14</v>
      </c>
      <c r="G498">
        <v>4</v>
      </c>
      <c r="H498">
        <v>25</v>
      </c>
      <c r="I498" s="8">
        <f>Table4[[#This Row],[Quantity]]*Table4[[#This Row],[Price per Unit]]</f>
        <v>100</v>
      </c>
      <c r="J498">
        <v>100</v>
      </c>
      <c r="K498" s="8" t="str">
        <f>IF(Table4[[#This Row],[Total Amount]]=Table4[[#This Row],[Calculated Total]],"Correct","Check")</f>
        <v>Correct</v>
      </c>
      <c r="L498" s="8"/>
    </row>
    <row r="499" spans="1:12">
      <c r="A499" s="2">
        <v>715</v>
      </c>
      <c r="B499" s="1">
        <v>45256</v>
      </c>
      <c r="C499" t="s">
        <v>728</v>
      </c>
      <c r="D499" t="s">
        <v>13</v>
      </c>
      <c r="E499">
        <v>42</v>
      </c>
      <c r="F499" s="2" t="s">
        <v>11</v>
      </c>
      <c r="G499">
        <v>4</v>
      </c>
      <c r="H499">
        <v>25</v>
      </c>
      <c r="I499" s="8">
        <f>Table4[[#This Row],[Quantity]]*Table4[[#This Row],[Price per Unit]]</f>
        <v>100</v>
      </c>
      <c r="J499">
        <v>100</v>
      </c>
      <c r="K499" s="8" t="str">
        <f>IF(Table4[[#This Row],[Total Amount]]=Table4[[#This Row],[Calculated Total]],"Correct","Check")</f>
        <v>Correct</v>
      </c>
      <c r="L499" s="8"/>
    </row>
    <row r="500" spans="1:12" hidden="1">
      <c r="A500" s="2">
        <v>630</v>
      </c>
      <c r="B500" s="1">
        <v>45153</v>
      </c>
      <c r="C500" t="s">
        <v>643</v>
      </c>
      <c r="D500" t="s">
        <v>10</v>
      </c>
      <c r="E500">
        <v>42</v>
      </c>
      <c r="F500" s="2" t="s">
        <v>14</v>
      </c>
      <c r="G500">
        <v>2</v>
      </c>
      <c r="H500">
        <v>50</v>
      </c>
      <c r="I500" s="8">
        <f>Table4[[#This Row],[Quantity]]*Table4[[#This Row],[Price per Unit]]</f>
        <v>100</v>
      </c>
      <c r="J500">
        <v>100</v>
      </c>
      <c r="K500" s="8" t="str">
        <f>IF(Table4[[#This Row],[Total Amount]]=Table4[[#This Row],[Calculated Total]],"Correct","Check")</f>
        <v>Correct</v>
      </c>
      <c r="L500" s="8"/>
    </row>
    <row r="501" spans="1:12">
      <c r="A501" s="2">
        <v>918</v>
      </c>
      <c r="B501" s="1">
        <v>45253</v>
      </c>
      <c r="C501" t="s">
        <v>931</v>
      </c>
      <c r="D501" t="s">
        <v>13</v>
      </c>
      <c r="E501">
        <v>42</v>
      </c>
      <c r="F501" s="2" t="s">
        <v>16</v>
      </c>
      <c r="G501">
        <v>3</v>
      </c>
      <c r="H501">
        <v>30</v>
      </c>
      <c r="I501" s="8">
        <f>Table4[[#This Row],[Quantity]]*Table4[[#This Row],[Price per Unit]]</f>
        <v>90</v>
      </c>
      <c r="J501">
        <v>90</v>
      </c>
      <c r="K501" s="8" t="str">
        <f>IF(Table4[[#This Row],[Total Amount]]=Table4[[#This Row],[Calculated Total]],"Correct","Check")</f>
        <v>Correct</v>
      </c>
      <c r="L501" s="8"/>
    </row>
    <row r="502" spans="1:12">
      <c r="A502" s="2">
        <v>898</v>
      </c>
      <c r="B502" s="1">
        <v>45232</v>
      </c>
      <c r="C502" t="s">
        <v>911</v>
      </c>
      <c r="D502" t="s">
        <v>13</v>
      </c>
      <c r="E502">
        <v>42</v>
      </c>
      <c r="F502" s="2" t="s">
        <v>14</v>
      </c>
      <c r="G502">
        <v>3</v>
      </c>
      <c r="H502">
        <v>30</v>
      </c>
      <c r="I502" s="8">
        <f>Table4[[#This Row],[Quantity]]*Table4[[#This Row],[Price per Unit]]</f>
        <v>90</v>
      </c>
      <c r="J502">
        <v>90</v>
      </c>
      <c r="K502" s="8" t="str">
        <f>IF(Table4[[#This Row],[Total Amount]]=Table4[[#This Row],[Calculated Total]],"Correct","Check")</f>
        <v>Correct</v>
      </c>
      <c r="L502" s="8"/>
    </row>
    <row r="503" spans="1:12">
      <c r="A503" s="2">
        <v>654</v>
      </c>
      <c r="B503" s="1">
        <v>45098</v>
      </c>
      <c r="C503" t="s">
        <v>667</v>
      </c>
      <c r="D503" t="s">
        <v>10</v>
      </c>
      <c r="E503">
        <v>42</v>
      </c>
      <c r="F503" s="2" t="s">
        <v>14</v>
      </c>
      <c r="G503">
        <v>3</v>
      </c>
      <c r="H503">
        <v>25</v>
      </c>
      <c r="I503" s="8">
        <f>Table4[[#This Row],[Quantity]]*Table4[[#This Row],[Price per Unit]]</f>
        <v>75</v>
      </c>
      <c r="J503">
        <v>75</v>
      </c>
      <c r="K503" s="8" t="str">
        <f>IF(Table4[[#This Row],[Total Amount]]=Table4[[#This Row],[Calculated Total]],"Correct","Check")</f>
        <v>Correct</v>
      </c>
      <c r="L503" s="8"/>
    </row>
    <row r="504" spans="1:12" hidden="1">
      <c r="A504" s="2">
        <v>959</v>
      </c>
      <c r="B504" s="1">
        <v>45228</v>
      </c>
      <c r="C504" t="s">
        <v>972</v>
      </c>
      <c r="D504" t="s">
        <v>13</v>
      </c>
      <c r="E504">
        <v>42</v>
      </c>
      <c r="F504" s="2" t="s">
        <v>16</v>
      </c>
      <c r="G504">
        <v>2</v>
      </c>
      <c r="H504">
        <v>30</v>
      </c>
      <c r="I504" s="8">
        <f>Table4[[#This Row],[Quantity]]*Table4[[#This Row],[Price per Unit]]</f>
        <v>60</v>
      </c>
      <c r="J504">
        <v>60</v>
      </c>
      <c r="K504" s="8" t="str">
        <f>IF(Table4[[#This Row],[Total Amount]]=Table4[[#This Row],[Calculated Total]],"Correct","Check")</f>
        <v>Correct</v>
      </c>
      <c r="L504" s="8"/>
    </row>
    <row r="505" spans="1:12" hidden="1">
      <c r="A505" s="2">
        <v>719</v>
      </c>
      <c r="B505" s="1">
        <v>45020</v>
      </c>
      <c r="C505" t="s">
        <v>732</v>
      </c>
      <c r="D505" t="s">
        <v>13</v>
      </c>
      <c r="E505">
        <v>42</v>
      </c>
      <c r="F505" s="2" t="s">
        <v>14</v>
      </c>
      <c r="G505">
        <v>2</v>
      </c>
      <c r="H505">
        <v>30</v>
      </c>
      <c r="I505" s="8">
        <f>Table4[[#This Row],[Quantity]]*Table4[[#This Row],[Price per Unit]]</f>
        <v>60</v>
      </c>
      <c r="J505">
        <v>60</v>
      </c>
      <c r="K505" s="8" t="str">
        <f>IF(Table4[[#This Row],[Total Amount]]=Table4[[#This Row],[Calculated Total]],"Correct","Check")</f>
        <v>Correct</v>
      </c>
      <c r="L505" s="8"/>
    </row>
    <row r="506" spans="1:12" hidden="1">
      <c r="A506" s="2">
        <v>207</v>
      </c>
      <c r="B506" s="1">
        <v>45035</v>
      </c>
      <c r="C506" t="s">
        <v>220</v>
      </c>
      <c r="D506" t="s">
        <v>13</v>
      </c>
      <c r="E506">
        <v>42</v>
      </c>
      <c r="F506" s="2" t="s">
        <v>11</v>
      </c>
      <c r="G506">
        <v>2</v>
      </c>
      <c r="H506">
        <v>25</v>
      </c>
      <c r="I506" s="8">
        <f>Table4[[#This Row],[Quantity]]*Table4[[#This Row],[Price per Unit]]</f>
        <v>50</v>
      </c>
      <c r="J506">
        <v>50</v>
      </c>
      <c r="K506" s="8" t="str">
        <f>IF(Table4[[#This Row],[Total Amount]]=Table4[[#This Row],[Calculated Total]],"Correct","Check")</f>
        <v>Correct</v>
      </c>
      <c r="L506" s="8"/>
    </row>
    <row r="507" spans="1:12" hidden="1">
      <c r="A507" s="2">
        <v>846</v>
      </c>
      <c r="B507" s="1">
        <v>45191</v>
      </c>
      <c r="C507" t="s">
        <v>859</v>
      </c>
      <c r="D507" t="s">
        <v>10</v>
      </c>
      <c r="E507">
        <v>42</v>
      </c>
      <c r="F507" s="2" t="s">
        <v>11</v>
      </c>
      <c r="G507">
        <v>1</v>
      </c>
      <c r="H507">
        <v>50</v>
      </c>
      <c r="I507" s="8">
        <f>Table4[[#This Row],[Quantity]]*Table4[[#This Row],[Price per Unit]]</f>
        <v>50</v>
      </c>
      <c r="J507">
        <v>50</v>
      </c>
      <c r="K507" s="8" t="str">
        <f>IF(Table4[[#This Row],[Total Amount]]=Table4[[#This Row],[Calculated Total]],"Correct","Check")</f>
        <v>Correct</v>
      </c>
      <c r="L507" s="8"/>
    </row>
    <row r="508" spans="1:12" hidden="1">
      <c r="A508" s="2">
        <v>751</v>
      </c>
      <c r="B508" s="1">
        <v>45169</v>
      </c>
      <c r="C508" t="s">
        <v>764</v>
      </c>
      <c r="D508" t="s">
        <v>13</v>
      </c>
      <c r="E508">
        <v>42</v>
      </c>
      <c r="F508" s="2" t="s">
        <v>14</v>
      </c>
      <c r="G508">
        <v>2</v>
      </c>
      <c r="H508">
        <v>25</v>
      </c>
      <c r="I508" s="8">
        <f>Table4[[#This Row],[Quantity]]*Table4[[#This Row],[Price per Unit]]</f>
        <v>50</v>
      </c>
      <c r="J508">
        <v>50</v>
      </c>
      <c r="K508" s="8" t="str">
        <f>IF(Table4[[#This Row],[Total Amount]]=Table4[[#This Row],[Calculated Total]],"Correct","Check")</f>
        <v>Correct</v>
      </c>
      <c r="L508" s="8"/>
    </row>
    <row r="509" spans="1:12" hidden="1">
      <c r="A509" s="2">
        <v>29</v>
      </c>
      <c r="B509" s="1">
        <v>45156</v>
      </c>
      <c r="C509" t="s">
        <v>42</v>
      </c>
      <c r="D509" t="s">
        <v>13</v>
      </c>
      <c r="E509">
        <v>42</v>
      </c>
      <c r="F509" s="2" t="s">
        <v>16</v>
      </c>
      <c r="G509">
        <v>1</v>
      </c>
      <c r="H509">
        <v>30</v>
      </c>
      <c r="I509" s="8">
        <f>Table4[[#This Row],[Quantity]]*Table4[[#This Row],[Price per Unit]]</f>
        <v>30</v>
      </c>
      <c r="J509">
        <v>30</v>
      </c>
      <c r="K509" s="8" t="str">
        <f>IF(Table4[[#This Row],[Total Amount]]=Table4[[#This Row],[Calculated Total]],"Correct","Check")</f>
        <v>Correct</v>
      </c>
      <c r="L509" s="8"/>
    </row>
    <row r="510" spans="1:12" hidden="1">
      <c r="A510" s="2">
        <v>344</v>
      </c>
      <c r="B510" s="1">
        <v>44947</v>
      </c>
      <c r="C510" t="s">
        <v>357</v>
      </c>
      <c r="D510" t="s">
        <v>13</v>
      </c>
      <c r="E510">
        <v>42</v>
      </c>
      <c r="F510" s="2" t="s">
        <v>11</v>
      </c>
      <c r="G510">
        <v>1</v>
      </c>
      <c r="H510">
        <v>30</v>
      </c>
      <c r="I510" s="8">
        <f>Table4[[#This Row],[Quantity]]*Table4[[#This Row],[Price per Unit]]</f>
        <v>30</v>
      </c>
      <c r="J510">
        <v>30</v>
      </c>
      <c r="K510" s="8" t="str">
        <f>IF(Table4[[#This Row],[Total Amount]]=Table4[[#This Row],[Calculated Total]],"Correct","Check")</f>
        <v>Correct</v>
      </c>
      <c r="L510" s="8"/>
    </row>
    <row r="511" spans="1:12" hidden="1">
      <c r="A511" s="2">
        <v>749</v>
      </c>
      <c r="B511" s="1">
        <v>45049</v>
      </c>
      <c r="C511" t="s">
        <v>762</v>
      </c>
      <c r="D511" t="s">
        <v>10</v>
      </c>
      <c r="E511">
        <v>42</v>
      </c>
      <c r="F511" s="2" t="s">
        <v>11</v>
      </c>
      <c r="G511">
        <v>1</v>
      </c>
      <c r="H511">
        <v>30</v>
      </c>
      <c r="I511" s="8">
        <f>Table4[[#This Row],[Quantity]]*Table4[[#This Row],[Price per Unit]]</f>
        <v>30</v>
      </c>
      <c r="J511">
        <v>30</v>
      </c>
      <c r="K511" s="8" t="str">
        <f>IF(Table4[[#This Row],[Total Amount]]=Table4[[#This Row],[Calculated Total]],"Correct","Check")</f>
        <v>Correct</v>
      </c>
      <c r="L511" s="8"/>
    </row>
    <row r="512" spans="1:12" hidden="1">
      <c r="A512" s="2">
        <v>804</v>
      </c>
      <c r="B512" s="1">
        <v>45162</v>
      </c>
      <c r="C512" t="s">
        <v>817</v>
      </c>
      <c r="D512" t="s">
        <v>10</v>
      </c>
      <c r="E512">
        <v>42</v>
      </c>
      <c r="F512" s="2" t="s">
        <v>16</v>
      </c>
      <c r="G512">
        <v>1</v>
      </c>
      <c r="H512">
        <v>30</v>
      </c>
      <c r="I512" s="8">
        <f>Table4[[#This Row],[Quantity]]*Table4[[#This Row],[Price per Unit]]</f>
        <v>30</v>
      </c>
      <c r="J512">
        <v>30</v>
      </c>
      <c r="K512" s="8" t="str">
        <f>IF(Table4[[#This Row],[Total Amount]]=Table4[[#This Row],[Calculated Total]],"Correct","Check")</f>
        <v>Correct</v>
      </c>
      <c r="L512" s="8"/>
    </row>
    <row r="513" spans="1:12" hidden="1">
      <c r="A513" s="2">
        <v>438</v>
      </c>
      <c r="B513" s="1">
        <v>44945</v>
      </c>
      <c r="C513" t="s">
        <v>451</v>
      </c>
      <c r="D513" t="s">
        <v>13</v>
      </c>
      <c r="E513">
        <v>42</v>
      </c>
      <c r="F513" s="2" t="s">
        <v>14</v>
      </c>
      <c r="G513">
        <v>1</v>
      </c>
      <c r="H513">
        <v>30</v>
      </c>
      <c r="I513" s="8">
        <f>Table4[[#This Row],[Quantity]]*Table4[[#This Row],[Price per Unit]]</f>
        <v>30</v>
      </c>
      <c r="J513">
        <v>30</v>
      </c>
      <c r="K513" s="8" t="str">
        <f>IF(Table4[[#This Row],[Total Amount]]=Table4[[#This Row],[Calculated Total]],"Correct","Check")</f>
        <v>Correct</v>
      </c>
      <c r="L513" s="8"/>
    </row>
    <row r="514" spans="1:12" hidden="1">
      <c r="A514" s="2">
        <v>347</v>
      </c>
      <c r="B514" s="1">
        <v>45141</v>
      </c>
      <c r="C514" t="s">
        <v>360</v>
      </c>
      <c r="D514" t="s">
        <v>10</v>
      </c>
      <c r="E514">
        <v>42</v>
      </c>
      <c r="F514" s="2" t="s">
        <v>16</v>
      </c>
      <c r="G514">
        <v>1</v>
      </c>
      <c r="H514">
        <v>25</v>
      </c>
      <c r="I514" s="8">
        <f>Table4[[#This Row],[Quantity]]*Table4[[#This Row],[Price per Unit]]</f>
        <v>25</v>
      </c>
      <c r="J514">
        <v>25</v>
      </c>
      <c r="K514" s="8" t="str">
        <f>IF(Table4[[#This Row],[Total Amount]]=Table4[[#This Row],[Calculated Total]],"Correct","Check")</f>
        <v>Correct</v>
      </c>
      <c r="L514" s="8"/>
    </row>
    <row r="515" spans="1:12">
      <c r="A515" s="2">
        <v>342</v>
      </c>
      <c r="B515" s="1">
        <v>45223</v>
      </c>
      <c r="C515" t="s">
        <v>355</v>
      </c>
      <c r="D515" t="s">
        <v>13</v>
      </c>
      <c r="E515">
        <v>43</v>
      </c>
      <c r="F515" s="2" t="s">
        <v>14</v>
      </c>
      <c r="G515">
        <v>4</v>
      </c>
      <c r="H515">
        <v>500</v>
      </c>
      <c r="I515" s="8">
        <f>Table4[[#This Row],[Quantity]]*Table4[[#This Row],[Price per Unit]]</f>
        <v>2000</v>
      </c>
      <c r="J515">
        <v>2000</v>
      </c>
      <c r="K515" s="8" t="str">
        <f>IF(Table4[[#This Row],[Total Amount]]=Table4[[#This Row],[Calculated Total]],"Correct","Check")</f>
        <v>Correct</v>
      </c>
      <c r="L515" s="8"/>
    </row>
    <row r="516" spans="1:12">
      <c r="A516" s="2">
        <v>152</v>
      </c>
      <c r="B516" s="1">
        <v>44985</v>
      </c>
      <c r="C516" t="s">
        <v>165</v>
      </c>
      <c r="D516" t="s">
        <v>10</v>
      </c>
      <c r="E516">
        <v>43</v>
      </c>
      <c r="F516" s="2" t="s">
        <v>16</v>
      </c>
      <c r="G516">
        <v>4</v>
      </c>
      <c r="H516">
        <v>500</v>
      </c>
      <c r="I516" s="8">
        <f>Table4[[#This Row],[Quantity]]*Table4[[#This Row],[Price per Unit]]</f>
        <v>2000</v>
      </c>
      <c r="J516">
        <v>2000</v>
      </c>
      <c r="K516" s="8" t="str">
        <f>IF(Table4[[#This Row],[Total Amount]]=Table4[[#This Row],[Calculated Total]],"Correct","Check")</f>
        <v>Correct</v>
      </c>
      <c r="L516" s="8"/>
    </row>
    <row r="517" spans="1:12">
      <c r="A517" s="2">
        <v>927</v>
      </c>
      <c r="B517" s="1">
        <v>45101</v>
      </c>
      <c r="C517" t="s">
        <v>940</v>
      </c>
      <c r="D517" t="s">
        <v>10</v>
      </c>
      <c r="E517">
        <v>43</v>
      </c>
      <c r="F517" s="2" t="s">
        <v>16</v>
      </c>
      <c r="G517">
        <v>4</v>
      </c>
      <c r="H517">
        <v>500</v>
      </c>
      <c r="I517" s="8">
        <f>Table4[[#This Row],[Quantity]]*Table4[[#This Row],[Price per Unit]]</f>
        <v>2000</v>
      </c>
      <c r="J517">
        <v>2000</v>
      </c>
      <c r="K517" s="8" t="str">
        <f>IF(Table4[[#This Row],[Total Amount]]=Table4[[#This Row],[Calculated Total]],"Correct","Check")</f>
        <v>Correct</v>
      </c>
      <c r="L517" s="8"/>
    </row>
    <row r="518" spans="1:12">
      <c r="A518" s="2">
        <v>673</v>
      </c>
      <c r="B518" s="1">
        <v>44958</v>
      </c>
      <c r="C518" t="s">
        <v>686</v>
      </c>
      <c r="D518" t="s">
        <v>13</v>
      </c>
      <c r="E518">
        <v>43</v>
      </c>
      <c r="F518" s="2" t="s">
        <v>14</v>
      </c>
      <c r="G518">
        <v>3</v>
      </c>
      <c r="H518">
        <v>500</v>
      </c>
      <c r="I518" s="8">
        <f>Table4[[#This Row],[Quantity]]*Table4[[#This Row],[Price per Unit]]</f>
        <v>1500</v>
      </c>
      <c r="J518">
        <v>1500</v>
      </c>
      <c r="K518" s="8" t="str">
        <f>IF(Table4[[#This Row],[Total Amount]]=Table4[[#This Row],[Calculated Total]],"Correct","Check")</f>
        <v>Correct</v>
      </c>
      <c r="L518" s="8"/>
    </row>
    <row r="519" spans="1:12">
      <c r="A519" s="2">
        <v>481</v>
      </c>
      <c r="B519" s="1">
        <v>45083</v>
      </c>
      <c r="C519" t="s">
        <v>494</v>
      </c>
      <c r="D519" t="s">
        <v>13</v>
      </c>
      <c r="E519">
        <v>43</v>
      </c>
      <c r="F519" s="2" t="s">
        <v>16</v>
      </c>
      <c r="G519">
        <v>4</v>
      </c>
      <c r="H519">
        <v>300</v>
      </c>
      <c r="I519" s="8">
        <f>Table4[[#This Row],[Quantity]]*Table4[[#This Row],[Price per Unit]]</f>
        <v>1200</v>
      </c>
      <c r="J519">
        <v>1200</v>
      </c>
      <c r="K519" s="8" t="str">
        <f>IF(Table4[[#This Row],[Total Amount]]=Table4[[#This Row],[Calculated Total]],"Correct","Check")</f>
        <v>Correct</v>
      </c>
      <c r="L519" s="8"/>
    </row>
    <row r="520" spans="1:12">
      <c r="A520" s="2">
        <v>757</v>
      </c>
      <c r="B520" s="1">
        <v>45285</v>
      </c>
      <c r="C520" t="s">
        <v>770</v>
      </c>
      <c r="D520" t="s">
        <v>13</v>
      </c>
      <c r="E520">
        <v>43</v>
      </c>
      <c r="F520" s="2" t="s">
        <v>16</v>
      </c>
      <c r="G520">
        <v>4</v>
      </c>
      <c r="H520">
        <v>300</v>
      </c>
      <c r="I520" s="8">
        <f>Table4[[#This Row],[Quantity]]*Table4[[#This Row],[Price per Unit]]</f>
        <v>1200</v>
      </c>
      <c r="J520">
        <v>1200</v>
      </c>
      <c r="K520" s="8" t="str">
        <f>IF(Table4[[#This Row],[Total Amount]]=Table4[[#This Row],[Calculated Total]],"Correct","Check")</f>
        <v>Correct</v>
      </c>
      <c r="L520" s="8"/>
    </row>
    <row r="521" spans="1:12" hidden="1">
      <c r="A521" s="2">
        <v>275</v>
      </c>
      <c r="B521" s="1">
        <v>45024</v>
      </c>
      <c r="C521" t="s">
        <v>288</v>
      </c>
      <c r="D521" t="s">
        <v>10</v>
      </c>
      <c r="E521">
        <v>43</v>
      </c>
      <c r="F521" s="2" t="s">
        <v>14</v>
      </c>
      <c r="G521">
        <v>2</v>
      </c>
      <c r="H521">
        <v>500</v>
      </c>
      <c r="I521" s="8">
        <f>Table4[[#This Row],[Quantity]]*Table4[[#This Row],[Price per Unit]]</f>
        <v>1000</v>
      </c>
      <c r="J521">
        <v>1000</v>
      </c>
      <c r="K521" s="8" t="str">
        <f>IF(Table4[[#This Row],[Total Amount]]=Table4[[#This Row],[Calculated Total]],"Correct","Check")</f>
        <v>Correct</v>
      </c>
      <c r="L521" s="8"/>
    </row>
    <row r="522" spans="1:12">
      <c r="A522" s="2">
        <v>183</v>
      </c>
      <c r="B522" s="1">
        <v>45177</v>
      </c>
      <c r="C522" t="s">
        <v>196</v>
      </c>
      <c r="D522" t="s">
        <v>13</v>
      </c>
      <c r="E522">
        <v>43</v>
      </c>
      <c r="F522" s="2" t="s">
        <v>11</v>
      </c>
      <c r="G522">
        <v>3</v>
      </c>
      <c r="H522">
        <v>300</v>
      </c>
      <c r="I522" s="8">
        <f>Table4[[#This Row],[Quantity]]*Table4[[#This Row],[Price per Unit]]</f>
        <v>900</v>
      </c>
      <c r="J522">
        <v>900</v>
      </c>
      <c r="K522" s="8" t="str">
        <f>IF(Table4[[#This Row],[Total Amount]]=Table4[[#This Row],[Calculated Total]],"Correct","Check")</f>
        <v>Correct</v>
      </c>
      <c r="L522" s="8"/>
    </row>
    <row r="523" spans="1:12">
      <c r="A523" s="2">
        <v>417</v>
      </c>
      <c r="B523" s="1">
        <v>45251</v>
      </c>
      <c r="C523" t="s">
        <v>430</v>
      </c>
      <c r="D523" t="s">
        <v>10</v>
      </c>
      <c r="E523">
        <v>43</v>
      </c>
      <c r="F523" s="2" t="s">
        <v>16</v>
      </c>
      <c r="G523">
        <v>3</v>
      </c>
      <c r="H523">
        <v>300</v>
      </c>
      <c r="I523" s="8">
        <f>Table4[[#This Row],[Quantity]]*Table4[[#This Row],[Price per Unit]]</f>
        <v>900</v>
      </c>
      <c r="J523">
        <v>900</v>
      </c>
      <c r="K523" s="8" t="str">
        <f>IF(Table4[[#This Row],[Total Amount]]=Table4[[#This Row],[Calculated Total]],"Correct","Check")</f>
        <v>Correct</v>
      </c>
      <c r="L523" s="8"/>
    </row>
    <row r="524" spans="1:12">
      <c r="A524" s="2">
        <v>430</v>
      </c>
      <c r="B524" s="1">
        <v>45145</v>
      </c>
      <c r="C524" t="s">
        <v>443</v>
      </c>
      <c r="D524" t="s">
        <v>13</v>
      </c>
      <c r="E524">
        <v>43</v>
      </c>
      <c r="F524" s="2" t="s">
        <v>16</v>
      </c>
      <c r="G524">
        <v>3</v>
      </c>
      <c r="H524">
        <v>300</v>
      </c>
      <c r="I524" s="8">
        <f>Table4[[#This Row],[Quantity]]*Table4[[#This Row],[Price per Unit]]</f>
        <v>900</v>
      </c>
      <c r="J524">
        <v>900</v>
      </c>
      <c r="K524" s="8" t="str">
        <f>IF(Table4[[#This Row],[Total Amount]]=Table4[[#This Row],[Calculated Total]],"Correct","Check")</f>
        <v>Correct</v>
      </c>
      <c r="L524" s="8"/>
    </row>
    <row r="525" spans="1:12">
      <c r="A525" s="2">
        <v>708</v>
      </c>
      <c r="B525" s="1">
        <v>44940</v>
      </c>
      <c r="C525" t="s">
        <v>721</v>
      </c>
      <c r="D525" t="s">
        <v>13</v>
      </c>
      <c r="E525">
        <v>43</v>
      </c>
      <c r="F525" s="2" t="s">
        <v>11</v>
      </c>
      <c r="G525">
        <v>3</v>
      </c>
      <c r="H525">
        <v>300</v>
      </c>
      <c r="I525" s="8">
        <f>Table4[[#This Row],[Quantity]]*Table4[[#This Row],[Price per Unit]]</f>
        <v>900</v>
      </c>
      <c r="J525">
        <v>900</v>
      </c>
      <c r="K525" s="8" t="str">
        <f>IF(Table4[[#This Row],[Total Amount]]=Table4[[#This Row],[Calculated Total]],"Correct","Check")</f>
        <v>Correct</v>
      </c>
      <c r="L525" s="8"/>
    </row>
    <row r="526" spans="1:12" hidden="1">
      <c r="A526" s="2">
        <v>637</v>
      </c>
      <c r="B526" s="1">
        <v>45170</v>
      </c>
      <c r="C526" t="s">
        <v>650</v>
      </c>
      <c r="D526" t="s">
        <v>10</v>
      </c>
      <c r="E526">
        <v>43</v>
      </c>
      <c r="F526" s="2" t="s">
        <v>14</v>
      </c>
      <c r="G526">
        <v>2</v>
      </c>
      <c r="H526">
        <v>300</v>
      </c>
      <c r="I526" s="8">
        <f>Table4[[#This Row],[Quantity]]*Table4[[#This Row],[Price per Unit]]</f>
        <v>600</v>
      </c>
      <c r="J526">
        <v>600</v>
      </c>
      <c r="K526" s="8" t="str">
        <f>IF(Table4[[#This Row],[Total Amount]]=Table4[[#This Row],[Calculated Total]],"Correct","Check")</f>
        <v>Correct</v>
      </c>
      <c r="L526" s="8"/>
    </row>
    <row r="527" spans="1:12" hidden="1">
      <c r="A527" s="2">
        <v>28</v>
      </c>
      <c r="B527" s="1">
        <v>45039</v>
      </c>
      <c r="C527" t="s">
        <v>41</v>
      </c>
      <c r="D527" t="s">
        <v>13</v>
      </c>
      <c r="E527">
        <v>43</v>
      </c>
      <c r="F527" s="2" t="s">
        <v>11</v>
      </c>
      <c r="G527">
        <v>1</v>
      </c>
      <c r="H527">
        <v>500</v>
      </c>
      <c r="I527" s="8">
        <f>Table4[[#This Row],[Quantity]]*Table4[[#This Row],[Price per Unit]]</f>
        <v>500</v>
      </c>
      <c r="J527">
        <v>500</v>
      </c>
      <c r="K527" s="8" t="str">
        <f>IF(Table4[[#This Row],[Total Amount]]=Table4[[#This Row],[Calculated Total]],"Correct","Check")</f>
        <v>Correct</v>
      </c>
      <c r="L527" s="8"/>
    </row>
    <row r="528" spans="1:12" hidden="1">
      <c r="A528" s="2">
        <v>70</v>
      </c>
      <c r="B528" s="1">
        <v>44978</v>
      </c>
      <c r="C528" t="s">
        <v>83</v>
      </c>
      <c r="D528" t="s">
        <v>13</v>
      </c>
      <c r="E528">
        <v>43</v>
      </c>
      <c r="F528" s="2" t="s">
        <v>14</v>
      </c>
      <c r="G528">
        <v>1</v>
      </c>
      <c r="H528">
        <v>300</v>
      </c>
      <c r="I528" s="8">
        <f>Table4[[#This Row],[Quantity]]*Table4[[#This Row],[Price per Unit]]</f>
        <v>300</v>
      </c>
      <c r="J528">
        <v>300</v>
      </c>
      <c r="K528" s="8" t="str">
        <f>IF(Table4[[#This Row],[Total Amount]]=Table4[[#This Row],[Calculated Total]],"Correct","Check")</f>
        <v>Correct</v>
      </c>
      <c r="L528" s="8"/>
    </row>
    <row r="529" spans="1:12" hidden="1">
      <c r="A529" s="2">
        <v>270</v>
      </c>
      <c r="B529" s="1">
        <v>45133</v>
      </c>
      <c r="C529" t="s">
        <v>283</v>
      </c>
      <c r="D529" t="s">
        <v>10</v>
      </c>
      <c r="E529">
        <v>43</v>
      </c>
      <c r="F529" s="2" t="s">
        <v>16</v>
      </c>
      <c r="G529">
        <v>1</v>
      </c>
      <c r="H529">
        <v>300</v>
      </c>
      <c r="I529" s="8">
        <f>Table4[[#This Row],[Quantity]]*Table4[[#This Row],[Price per Unit]]</f>
        <v>300</v>
      </c>
      <c r="J529">
        <v>300</v>
      </c>
      <c r="K529" s="8" t="str">
        <f>IF(Table4[[#This Row],[Total Amount]]=Table4[[#This Row],[Calculated Total]],"Correct","Check")</f>
        <v>Correct</v>
      </c>
      <c r="L529" s="8"/>
    </row>
    <row r="530" spans="1:12">
      <c r="A530" s="2">
        <v>284</v>
      </c>
      <c r="B530" s="1">
        <v>44965</v>
      </c>
      <c r="C530" t="s">
        <v>297</v>
      </c>
      <c r="D530" t="s">
        <v>10</v>
      </c>
      <c r="E530">
        <v>43</v>
      </c>
      <c r="F530" s="2" t="s">
        <v>14</v>
      </c>
      <c r="G530">
        <v>4</v>
      </c>
      <c r="H530">
        <v>50</v>
      </c>
      <c r="I530" s="8">
        <f>Table4[[#This Row],[Quantity]]*Table4[[#This Row],[Price per Unit]]</f>
        <v>200</v>
      </c>
      <c r="J530">
        <v>200</v>
      </c>
      <c r="K530" s="8" t="str">
        <f>IF(Table4[[#This Row],[Total Amount]]=Table4[[#This Row],[Calculated Total]],"Correct","Check")</f>
        <v>Correct</v>
      </c>
      <c r="L530" s="8"/>
    </row>
    <row r="531" spans="1:12">
      <c r="A531" s="2">
        <v>765</v>
      </c>
      <c r="B531" s="1">
        <v>45086</v>
      </c>
      <c r="C531" t="s">
        <v>778</v>
      </c>
      <c r="D531" t="s">
        <v>10</v>
      </c>
      <c r="E531">
        <v>43</v>
      </c>
      <c r="F531" s="2" t="s">
        <v>14</v>
      </c>
      <c r="G531">
        <v>4</v>
      </c>
      <c r="H531">
        <v>50</v>
      </c>
      <c r="I531" s="8">
        <f>Table4[[#This Row],[Quantity]]*Table4[[#This Row],[Price per Unit]]</f>
        <v>200</v>
      </c>
      <c r="J531">
        <v>200</v>
      </c>
      <c r="K531" s="8" t="str">
        <f>IF(Table4[[#This Row],[Total Amount]]=Table4[[#This Row],[Calculated Total]],"Correct","Check")</f>
        <v>Correct</v>
      </c>
      <c r="L531" s="8"/>
    </row>
    <row r="532" spans="1:12">
      <c r="A532" s="2">
        <v>167</v>
      </c>
      <c r="B532" s="1">
        <v>45186</v>
      </c>
      <c r="C532" t="s">
        <v>180</v>
      </c>
      <c r="D532" t="s">
        <v>13</v>
      </c>
      <c r="E532">
        <v>43</v>
      </c>
      <c r="F532" s="2" t="s">
        <v>14</v>
      </c>
      <c r="G532">
        <v>3</v>
      </c>
      <c r="H532">
        <v>50</v>
      </c>
      <c r="I532" s="8">
        <f>Table4[[#This Row],[Quantity]]*Table4[[#This Row],[Price per Unit]]</f>
        <v>150</v>
      </c>
      <c r="J532">
        <v>150</v>
      </c>
      <c r="K532" s="8" t="str">
        <f>IF(Table4[[#This Row],[Total Amount]]=Table4[[#This Row],[Calculated Total]],"Correct","Check")</f>
        <v>Correct</v>
      </c>
      <c r="L532" s="8"/>
    </row>
    <row r="533" spans="1:12">
      <c r="A533" s="2">
        <v>465</v>
      </c>
      <c r="B533" s="1">
        <v>45018</v>
      </c>
      <c r="C533" t="s">
        <v>478</v>
      </c>
      <c r="D533" t="s">
        <v>13</v>
      </c>
      <c r="E533">
        <v>43</v>
      </c>
      <c r="F533" s="2" t="s">
        <v>16</v>
      </c>
      <c r="G533">
        <v>3</v>
      </c>
      <c r="H533">
        <v>50</v>
      </c>
      <c r="I533" s="8">
        <f>Table4[[#This Row],[Quantity]]*Table4[[#This Row],[Price per Unit]]</f>
        <v>150</v>
      </c>
      <c r="J533">
        <v>150</v>
      </c>
      <c r="K533" s="8" t="str">
        <f>IF(Table4[[#This Row],[Total Amount]]=Table4[[#This Row],[Calculated Total]],"Correct","Check")</f>
        <v>Correct</v>
      </c>
      <c r="L533" s="8"/>
    </row>
    <row r="534" spans="1:12">
      <c r="A534" s="2">
        <v>502</v>
      </c>
      <c r="B534" s="1">
        <v>45018</v>
      </c>
      <c r="C534" t="s">
        <v>515</v>
      </c>
      <c r="D534" t="s">
        <v>10</v>
      </c>
      <c r="E534">
        <v>43</v>
      </c>
      <c r="F534" s="2" t="s">
        <v>16</v>
      </c>
      <c r="G534">
        <v>3</v>
      </c>
      <c r="H534">
        <v>50</v>
      </c>
      <c r="I534" s="8">
        <f>Table4[[#This Row],[Quantity]]*Table4[[#This Row],[Price per Unit]]</f>
        <v>150</v>
      </c>
      <c r="J534">
        <v>150</v>
      </c>
      <c r="K534" s="8" t="str">
        <f>IF(Table4[[#This Row],[Total Amount]]=Table4[[#This Row],[Calculated Total]],"Correct","Check")</f>
        <v>Correct</v>
      </c>
      <c r="L534" s="8"/>
    </row>
    <row r="535" spans="1:12">
      <c r="A535" s="2">
        <v>477</v>
      </c>
      <c r="B535" s="1">
        <v>45040</v>
      </c>
      <c r="C535" t="s">
        <v>490</v>
      </c>
      <c r="D535" t="s">
        <v>10</v>
      </c>
      <c r="E535">
        <v>43</v>
      </c>
      <c r="F535" s="2" t="s">
        <v>14</v>
      </c>
      <c r="G535">
        <v>4</v>
      </c>
      <c r="H535">
        <v>30</v>
      </c>
      <c r="I535" s="8">
        <f>Table4[[#This Row],[Quantity]]*Table4[[#This Row],[Price per Unit]]</f>
        <v>120</v>
      </c>
      <c r="J535">
        <v>120</v>
      </c>
      <c r="K535" s="8" t="str">
        <f>IF(Table4[[#This Row],[Total Amount]]=Table4[[#This Row],[Calculated Total]],"Correct","Check")</f>
        <v>Correct</v>
      </c>
      <c r="L535" s="8"/>
    </row>
    <row r="536" spans="1:12">
      <c r="A536" s="2">
        <v>796</v>
      </c>
      <c r="B536" s="1">
        <v>45101</v>
      </c>
      <c r="C536" t="s">
        <v>809</v>
      </c>
      <c r="D536" t="s">
        <v>10</v>
      </c>
      <c r="E536">
        <v>43</v>
      </c>
      <c r="F536" s="2" t="s">
        <v>11</v>
      </c>
      <c r="G536">
        <v>4</v>
      </c>
      <c r="H536">
        <v>30</v>
      </c>
      <c r="I536" s="8">
        <f>Table4[[#This Row],[Quantity]]*Table4[[#This Row],[Price per Unit]]</f>
        <v>120</v>
      </c>
      <c r="J536">
        <v>120</v>
      </c>
      <c r="K536" s="8" t="str">
        <f>IF(Table4[[#This Row],[Total Amount]]=Table4[[#This Row],[Calculated Total]],"Correct","Check")</f>
        <v>Correct</v>
      </c>
      <c r="L536" s="8"/>
    </row>
    <row r="537" spans="1:12">
      <c r="A537" s="2">
        <v>876</v>
      </c>
      <c r="B537" s="1">
        <v>45208</v>
      </c>
      <c r="C537" t="s">
        <v>889</v>
      </c>
      <c r="D537" t="s">
        <v>10</v>
      </c>
      <c r="E537">
        <v>43</v>
      </c>
      <c r="F537" s="2" t="s">
        <v>14</v>
      </c>
      <c r="G537">
        <v>4</v>
      </c>
      <c r="H537">
        <v>30</v>
      </c>
      <c r="I537" s="8">
        <f>Table4[[#This Row],[Quantity]]*Table4[[#This Row],[Price per Unit]]</f>
        <v>120</v>
      </c>
      <c r="J537">
        <v>120</v>
      </c>
      <c r="K537" s="8" t="str">
        <f>IF(Table4[[#This Row],[Total Amount]]=Table4[[#This Row],[Calculated Total]],"Correct","Check")</f>
        <v>Correct</v>
      </c>
      <c r="L537" s="8"/>
    </row>
    <row r="538" spans="1:12">
      <c r="A538" s="2">
        <v>156</v>
      </c>
      <c r="B538" s="1">
        <v>45255</v>
      </c>
      <c r="C538" t="s">
        <v>169</v>
      </c>
      <c r="D538" t="s">
        <v>13</v>
      </c>
      <c r="E538">
        <v>43</v>
      </c>
      <c r="F538" s="2" t="s">
        <v>14</v>
      </c>
      <c r="G538">
        <v>4</v>
      </c>
      <c r="H538">
        <v>25</v>
      </c>
      <c r="I538" s="8">
        <f>Table4[[#This Row],[Quantity]]*Table4[[#This Row],[Price per Unit]]</f>
        <v>100</v>
      </c>
      <c r="J538">
        <v>100</v>
      </c>
      <c r="K538" s="8" t="str">
        <f>IF(Table4[[#This Row],[Total Amount]]=Table4[[#This Row],[Calculated Total]],"Correct","Check")</f>
        <v>Correct</v>
      </c>
      <c r="L538" s="8"/>
    </row>
    <row r="539" spans="1:12" hidden="1">
      <c r="A539" s="2">
        <v>160</v>
      </c>
      <c r="B539" s="1">
        <v>45149</v>
      </c>
      <c r="C539" t="s">
        <v>173</v>
      </c>
      <c r="D539" t="s">
        <v>13</v>
      </c>
      <c r="E539">
        <v>43</v>
      </c>
      <c r="F539" s="2" t="s">
        <v>14</v>
      </c>
      <c r="G539">
        <v>2</v>
      </c>
      <c r="H539">
        <v>50</v>
      </c>
      <c r="I539" s="8">
        <f>Table4[[#This Row],[Quantity]]*Table4[[#This Row],[Price per Unit]]</f>
        <v>100</v>
      </c>
      <c r="J539">
        <v>100</v>
      </c>
      <c r="K539" s="8" t="str">
        <f>IF(Table4[[#This Row],[Total Amount]]=Table4[[#This Row],[Calculated Total]],"Correct","Check")</f>
        <v>Correct</v>
      </c>
      <c r="L539" s="8"/>
    </row>
    <row r="540" spans="1:12" hidden="1">
      <c r="A540" s="2">
        <v>176</v>
      </c>
      <c r="B540" s="1">
        <v>45118</v>
      </c>
      <c r="C540" t="s">
        <v>189</v>
      </c>
      <c r="D540" t="s">
        <v>13</v>
      </c>
      <c r="E540">
        <v>43</v>
      </c>
      <c r="F540" s="2" t="s">
        <v>11</v>
      </c>
      <c r="G540">
        <v>2</v>
      </c>
      <c r="H540">
        <v>50</v>
      </c>
      <c r="I540" s="8">
        <f>Table4[[#This Row],[Quantity]]*Table4[[#This Row],[Price per Unit]]</f>
        <v>100</v>
      </c>
      <c r="J540">
        <v>100</v>
      </c>
      <c r="K540" s="8" t="str">
        <f>IF(Table4[[#This Row],[Total Amount]]=Table4[[#This Row],[Calculated Total]],"Correct","Check")</f>
        <v>Correct</v>
      </c>
      <c r="L540" s="8"/>
    </row>
    <row r="541" spans="1:12">
      <c r="A541" s="2">
        <v>754</v>
      </c>
      <c r="B541" s="1">
        <v>45215</v>
      </c>
      <c r="C541" t="s">
        <v>767</v>
      </c>
      <c r="D541" t="s">
        <v>13</v>
      </c>
      <c r="E541">
        <v>43</v>
      </c>
      <c r="F541" s="2" t="s">
        <v>16</v>
      </c>
      <c r="G541">
        <v>4</v>
      </c>
      <c r="H541">
        <v>25</v>
      </c>
      <c r="I541" s="8">
        <f>Table4[[#This Row],[Quantity]]*Table4[[#This Row],[Price per Unit]]</f>
        <v>100</v>
      </c>
      <c r="J541">
        <v>100</v>
      </c>
      <c r="K541" s="8" t="str">
        <f>IF(Table4[[#This Row],[Total Amount]]=Table4[[#This Row],[Calculated Total]],"Correct","Check")</f>
        <v>Correct</v>
      </c>
      <c r="L541" s="8"/>
    </row>
    <row r="542" spans="1:12" hidden="1">
      <c r="A542" s="2">
        <v>681</v>
      </c>
      <c r="B542" s="1">
        <v>45121</v>
      </c>
      <c r="C542" t="s">
        <v>694</v>
      </c>
      <c r="D542" t="s">
        <v>13</v>
      </c>
      <c r="E542">
        <v>43</v>
      </c>
      <c r="F542" s="2" t="s">
        <v>16</v>
      </c>
      <c r="G542">
        <v>2</v>
      </c>
      <c r="H542">
        <v>30</v>
      </c>
      <c r="I542" s="8">
        <f>Table4[[#This Row],[Quantity]]*Table4[[#This Row],[Price per Unit]]</f>
        <v>60</v>
      </c>
      <c r="J542">
        <v>60</v>
      </c>
      <c r="K542" s="8" t="str">
        <f>IF(Table4[[#This Row],[Total Amount]]=Table4[[#This Row],[Calculated Total]],"Correct","Check")</f>
        <v>Correct</v>
      </c>
      <c r="L542" s="8"/>
    </row>
    <row r="543" spans="1:12" hidden="1">
      <c r="A543" s="2">
        <v>434</v>
      </c>
      <c r="B543" s="1">
        <v>44965</v>
      </c>
      <c r="C543" t="s">
        <v>447</v>
      </c>
      <c r="D543" t="s">
        <v>13</v>
      </c>
      <c r="E543">
        <v>43</v>
      </c>
      <c r="F543" s="2" t="s">
        <v>16</v>
      </c>
      <c r="G543">
        <v>2</v>
      </c>
      <c r="H543">
        <v>25</v>
      </c>
      <c r="I543" s="8">
        <f>Table4[[#This Row],[Quantity]]*Table4[[#This Row],[Price per Unit]]</f>
        <v>50</v>
      </c>
      <c r="J543">
        <v>50</v>
      </c>
      <c r="K543" s="8" t="str">
        <f>IF(Table4[[#This Row],[Total Amount]]=Table4[[#This Row],[Calculated Total]],"Correct","Check")</f>
        <v>Correct</v>
      </c>
      <c r="L543" s="8"/>
    </row>
    <row r="544" spans="1:12" hidden="1">
      <c r="A544" s="2">
        <v>232</v>
      </c>
      <c r="B544" s="1">
        <v>44963</v>
      </c>
      <c r="C544" t="s">
        <v>245</v>
      </c>
      <c r="D544" t="s">
        <v>13</v>
      </c>
      <c r="E544">
        <v>43</v>
      </c>
      <c r="F544" s="2" t="s">
        <v>11</v>
      </c>
      <c r="G544">
        <v>1</v>
      </c>
      <c r="H544">
        <v>25</v>
      </c>
      <c r="I544" s="8">
        <f>Table4[[#This Row],[Quantity]]*Table4[[#This Row],[Price per Unit]]</f>
        <v>25</v>
      </c>
      <c r="J544">
        <v>25</v>
      </c>
      <c r="K544" s="8" t="str">
        <f>IF(Table4[[#This Row],[Total Amount]]=Table4[[#This Row],[Calculated Total]],"Correct","Check")</f>
        <v>Correct</v>
      </c>
      <c r="L544" s="8"/>
    </row>
    <row r="545" spans="1:12" hidden="1">
      <c r="A545" s="2">
        <v>205</v>
      </c>
      <c r="B545" s="1">
        <v>45237</v>
      </c>
      <c r="C545" t="s">
        <v>218</v>
      </c>
      <c r="D545" t="s">
        <v>13</v>
      </c>
      <c r="E545">
        <v>43</v>
      </c>
      <c r="F545" s="2" t="s">
        <v>14</v>
      </c>
      <c r="G545">
        <v>1</v>
      </c>
      <c r="H545">
        <v>25</v>
      </c>
      <c r="I545" s="8">
        <f>Table4[[#This Row],[Quantity]]*Table4[[#This Row],[Price per Unit]]</f>
        <v>25</v>
      </c>
      <c r="J545">
        <v>25</v>
      </c>
      <c r="K545" s="8" t="str">
        <f>IF(Table4[[#This Row],[Total Amount]]=Table4[[#This Row],[Calculated Total]],"Correct","Check")</f>
        <v>Correct</v>
      </c>
      <c r="L545" s="8"/>
    </row>
    <row r="546" spans="1:12">
      <c r="A546" s="2">
        <v>487</v>
      </c>
      <c r="B546" s="1">
        <v>45131</v>
      </c>
      <c r="C546" t="s">
        <v>500</v>
      </c>
      <c r="D546" t="s">
        <v>10</v>
      </c>
      <c r="E546">
        <v>44</v>
      </c>
      <c r="F546" s="2" t="s">
        <v>14</v>
      </c>
      <c r="G546">
        <v>4</v>
      </c>
      <c r="H546">
        <v>500</v>
      </c>
      <c r="I546" s="8">
        <f>Table4[[#This Row],[Quantity]]*Table4[[#This Row],[Price per Unit]]</f>
        <v>2000</v>
      </c>
      <c r="J546">
        <v>2000</v>
      </c>
      <c r="K546" s="8" t="str">
        <f>IF(Table4[[#This Row],[Total Amount]]=Table4[[#This Row],[Calculated Total]],"Correct","Check")</f>
        <v>Correct</v>
      </c>
      <c r="L546" s="8"/>
    </row>
    <row r="547" spans="1:12">
      <c r="A547" s="2">
        <v>664</v>
      </c>
      <c r="B547" s="1">
        <v>45288</v>
      </c>
      <c r="C547" t="s">
        <v>677</v>
      </c>
      <c r="D547" t="s">
        <v>13</v>
      </c>
      <c r="E547">
        <v>44</v>
      </c>
      <c r="F547" s="2" t="s">
        <v>14</v>
      </c>
      <c r="G547">
        <v>4</v>
      </c>
      <c r="H547">
        <v>500</v>
      </c>
      <c r="I547" s="8">
        <f>Table4[[#This Row],[Quantity]]*Table4[[#This Row],[Price per Unit]]</f>
        <v>2000</v>
      </c>
      <c r="J547">
        <v>2000</v>
      </c>
      <c r="K547" s="8" t="str">
        <f>IF(Table4[[#This Row],[Total Amount]]=Table4[[#This Row],[Calculated Total]],"Correct","Check")</f>
        <v>Correct</v>
      </c>
      <c r="L547" s="8"/>
    </row>
    <row r="548" spans="1:12">
      <c r="A548" s="2">
        <v>31</v>
      </c>
      <c r="B548" s="1">
        <v>45069</v>
      </c>
      <c r="C548" t="s">
        <v>44</v>
      </c>
      <c r="D548" t="s">
        <v>10</v>
      </c>
      <c r="E548">
        <v>44</v>
      </c>
      <c r="F548" s="2" t="s">
        <v>16</v>
      </c>
      <c r="G548">
        <v>4</v>
      </c>
      <c r="H548">
        <v>300</v>
      </c>
      <c r="I548" s="8">
        <f>Table4[[#This Row],[Quantity]]*Table4[[#This Row],[Price per Unit]]</f>
        <v>1200</v>
      </c>
      <c r="J548">
        <v>1200</v>
      </c>
      <c r="K548" s="8" t="str">
        <f>IF(Table4[[#This Row],[Total Amount]]=Table4[[#This Row],[Calculated Total]],"Correct","Check")</f>
        <v>Correct</v>
      </c>
      <c r="L548" s="8"/>
    </row>
    <row r="549" spans="1:12" hidden="1">
      <c r="A549" s="2">
        <v>96</v>
      </c>
      <c r="B549" s="1">
        <v>45279</v>
      </c>
      <c r="C549" t="s">
        <v>109</v>
      </c>
      <c r="D549" t="s">
        <v>13</v>
      </c>
      <c r="E549">
        <v>44</v>
      </c>
      <c r="F549" s="2" t="s">
        <v>14</v>
      </c>
      <c r="G549">
        <v>2</v>
      </c>
      <c r="H549">
        <v>300</v>
      </c>
      <c r="I549" s="8">
        <f>Table4[[#This Row],[Quantity]]*Table4[[#This Row],[Price per Unit]]</f>
        <v>600</v>
      </c>
      <c r="J549">
        <v>600</v>
      </c>
      <c r="K549" s="8" t="str">
        <f>IF(Table4[[#This Row],[Total Amount]]=Table4[[#This Row],[Calculated Total]],"Correct","Check")</f>
        <v>Correct</v>
      </c>
      <c r="L549" s="8"/>
    </row>
    <row r="550" spans="1:12" hidden="1">
      <c r="A550" s="2">
        <v>136</v>
      </c>
      <c r="B550" s="1">
        <v>45005</v>
      </c>
      <c r="C550" t="s">
        <v>149</v>
      </c>
      <c r="D550" t="s">
        <v>10</v>
      </c>
      <c r="E550">
        <v>44</v>
      </c>
      <c r="F550" s="2" t="s">
        <v>16</v>
      </c>
      <c r="G550">
        <v>2</v>
      </c>
      <c r="H550">
        <v>300</v>
      </c>
      <c r="I550" s="8">
        <f>Table4[[#This Row],[Quantity]]*Table4[[#This Row],[Price per Unit]]</f>
        <v>600</v>
      </c>
      <c r="J550">
        <v>600</v>
      </c>
      <c r="K550" s="8" t="str">
        <f>IF(Table4[[#This Row],[Total Amount]]=Table4[[#This Row],[Calculated Total]],"Correct","Check")</f>
        <v>Correct</v>
      </c>
      <c r="L550" s="8"/>
    </row>
    <row r="551" spans="1:12" hidden="1">
      <c r="A551" s="2">
        <v>158</v>
      </c>
      <c r="B551" s="1">
        <v>44984</v>
      </c>
      <c r="C551" t="s">
        <v>171</v>
      </c>
      <c r="D551" t="s">
        <v>13</v>
      </c>
      <c r="E551">
        <v>44</v>
      </c>
      <c r="F551" s="2" t="s">
        <v>16</v>
      </c>
      <c r="G551">
        <v>2</v>
      </c>
      <c r="H551">
        <v>300</v>
      </c>
      <c r="I551" s="8">
        <f>Table4[[#This Row],[Quantity]]*Table4[[#This Row],[Price per Unit]]</f>
        <v>600</v>
      </c>
      <c r="J551">
        <v>600</v>
      </c>
      <c r="K551" s="8" t="str">
        <f>IF(Table4[[#This Row],[Total Amount]]=Table4[[#This Row],[Calculated Total]],"Correct","Check")</f>
        <v>Correct</v>
      </c>
      <c r="L551" s="8"/>
    </row>
    <row r="552" spans="1:12">
      <c r="A552" s="2">
        <v>381</v>
      </c>
      <c r="B552" s="1">
        <v>45116</v>
      </c>
      <c r="C552" t="s">
        <v>394</v>
      </c>
      <c r="D552" t="s">
        <v>13</v>
      </c>
      <c r="E552">
        <v>44</v>
      </c>
      <c r="F552" s="2" t="s">
        <v>14</v>
      </c>
      <c r="G552">
        <v>4</v>
      </c>
      <c r="H552">
        <v>25</v>
      </c>
      <c r="I552" s="8">
        <f>Table4[[#This Row],[Quantity]]*Table4[[#This Row],[Price per Unit]]</f>
        <v>100</v>
      </c>
      <c r="J552">
        <v>100</v>
      </c>
      <c r="K552" s="8" t="str">
        <f>IF(Table4[[#This Row],[Total Amount]]=Table4[[#This Row],[Calculated Total]],"Correct","Check")</f>
        <v>Correct</v>
      </c>
      <c r="L552" s="8"/>
    </row>
    <row r="553" spans="1:12">
      <c r="A553" s="2">
        <v>661</v>
      </c>
      <c r="B553" s="1">
        <v>45123</v>
      </c>
      <c r="C553" t="s">
        <v>674</v>
      </c>
      <c r="D553" t="s">
        <v>13</v>
      </c>
      <c r="E553">
        <v>44</v>
      </c>
      <c r="F553" s="2" t="s">
        <v>14</v>
      </c>
      <c r="G553">
        <v>4</v>
      </c>
      <c r="H553">
        <v>25</v>
      </c>
      <c r="I553" s="8">
        <f>Table4[[#This Row],[Quantity]]*Table4[[#This Row],[Price per Unit]]</f>
        <v>100</v>
      </c>
      <c r="J553">
        <v>100</v>
      </c>
      <c r="K553" s="8" t="str">
        <f>IF(Table4[[#This Row],[Total Amount]]=Table4[[#This Row],[Calculated Total]],"Correct","Check")</f>
        <v>Correct</v>
      </c>
      <c r="L553" s="8"/>
    </row>
    <row r="554" spans="1:12">
      <c r="A554" s="2">
        <v>419</v>
      </c>
      <c r="B554" s="1">
        <v>45068</v>
      </c>
      <c r="C554" t="s">
        <v>432</v>
      </c>
      <c r="D554" t="s">
        <v>13</v>
      </c>
      <c r="E554">
        <v>44</v>
      </c>
      <c r="F554" s="2" t="s">
        <v>14</v>
      </c>
      <c r="G554">
        <v>3</v>
      </c>
      <c r="H554">
        <v>30</v>
      </c>
      <c r="I554" s="8">
        <f>Table4[[#This Row],[Quantity]]*Table4[[#This Row],[Price per Unit]]</f>
        <v>90</v>
      </c>
      <c r="J554">
        <v>90</v>
      </c>
      <c r="K554" s="8" t="str">
        <f>IF(Table4[[#This Row],[Total Amount]]=Table4[[#This Row],[Calculated Total]],"Correct","Check")</f>
        <v>Correct</v>
      </c>
      <c r="L554" s="8"/>
    </row>
    <row r="555" spans="1:12">
      <c r="A555" s="2">
        <v>413</v>
      </c>
      <c r="B555" s="1">
        <v>45177</v>
      </c>
      <c r="C555" t="s">
        <v>426</v>
      </c>
      <c r="D555" t="s">
        <v>13</v>
      </c>
      <c r="E555">
        <v>44</v>
      </c>
      <c r="F555" s="2" t="s">
        <v>11</v>
      </c>
      <c r="G555">
        <v>3</v>
      </c>
      <c r="H555">
        <v>25</v>
      </c>
      <c r="I555" s="8">
        <f>Table4[[#This Row],[Quantity]]*Table4[[#This Row],[Price per Unit]]</f>
        <v>75</v>
      </c>
      <c r="J555">
        <v>75</v>
      </c>
      <c r="K555" s="8" t="str">
        <f>IF(Table4[[#This Row],[Total Amount]]=Table4[[#This Row],[Calculated Total]],"Correct","Check")</f>
        <v>Correct</v>
      </c>
      <c r="L555" s="8"/>
    </row>
    <row r="556" spans="1:12" hidden="1">
      <c r="A556" s="2">
        <v>962</v>
      </c>
      <c r="B556" s="1">
        <v>45218</v>
      </c>
      <c r="C556" t="s">
        <v>975</v>
      </c>
      <c r="D556" t="s">
        <v>10</v>
      </c>
      <c r="E556">
        <v>44</v>
      </c>
      <c r="F556" s="2" t="s">
        <v>14</v>
      </c>
      <c r="G556">
        <v>2</v>
      </c>
      <c r="H556">
        <v>30</v>
      </c>
      <c r="I556" s="8">
        <f>Table4[[#This Row],[Quantity]]*Table4[[#This Row],[Price per Unit]]</f>
        <v>60</v>
      </c>
      <c r="J556">
        <v>60</v>
      </c>
      <c r="K556" s="8" t="str">
        <f>IF(Table4[[#This Row],[Total Amount]]=Table4[[#This Row],[Calculated Total]],"Correct","Check")</f>
        <v>Correct</v>
      </c>
      <c r="L556" s="8"/>
    </row>
    <row r="557" spans="1:12" hidden="1">
      <c r="A557" s="2">
        <v>944</v>
      </c>
      <c r="B557" s="1">
        <v>45082</v>
      </c>
      <c r="C557" t="s">
        <v>957</v>
      </c>
      <c r="D557" t="s">
        <v>10</v>
      </c>
      <c r="E557">
        <v>44</v>
      </c>
      <c r="F557" s="2" t="s">
        <v>14</v>
      </c>
      <c r="G557">
        <v>2</v>
      </c>
      <c r="H557">
        <v>25</v>
      </c>
      <c r="I557" s="8">
        <f>Table4[[#This Row],[Quantity]]*Table4[[#This Row],[Price per Unit]]</f>
        <v>50</v>
      </c>
      <c r="J557">
        <v>50</v>
      </c>
      <c r="K557" s="8" t="str">
        <f>IF(Table4[[#This Row],[Total Amount]]=Table4[[#This Row],[Calculated Total]],"Correct","Check")</f>
        <v>Correct</v>
      </c>
      <c r="L557" s="8"/>
    </row>
    <row r="558" spans="1:12" hidden="1">
      <c r="A558" s="2">
        <v>387</v>
      </c>
      <c r="B558" s="1">
        <v>45081</v>
      </c>
      <c r="C558" t="s">
        <v>400</v>
      </c>
      <c r="D558" t="s">
        <v>10</v>
      </c>
      <c r="E558">
        <v>44</v>
      </c>
      <c r="F558" s="2" t="s">
        <v>11</v>
      </c>
      <c r="G558">
        <v>1</v>
      </c>
      <c r="H558">
        <v>30</v>
      </c>
      <c r="I558" s="8">
        <f>Table4[[#This Row],[Quantity]]*Table4[[#This Row],[Price per Unit]]</f>
        <v>30</v>
      </c>
      <c r="J558">
        <v>30</v>
      </c>
      <c r="K558" s="8" t="str">
        <f>IF(Table4[[#This Row],[Total Amount]]=Table4[[#This Row],[Calculated Total]],"Correct","Check")</f>
        <v>Correct</v>
      </c>
      <c r="L558" s="8"/>
    </row>
    <row r="559" spans="1:12" hidden="1">
      <c r="A559" s="2">
        <v>489</v>
      </c>
      <c r="B559" s="1">
        <v>45069</v>
      </c>
      <c r="C559" t="s">
        <v>502</v>
      </c>
      <c r="D559" t="s">
        <v>10</v>
      </c>
      <c r="E559">
        <v>44</v>
      </c>
      <c r="F559" s="2" t="s">
        <v>16</v>
      </c>
      <c r="G559">
        <v>1</v>
      </c>
      <c r="H559">
        <v>30</v>
      </c>
      <c r="I559" s="8">
        <f>Table4[[#This Row],[Quantity]]*Table4[[#This Row],[Price per Unit]]</f>
        <v>30</v>
      </c>
      <c r="J559">
        <v>30</v>
      </c>
      <c r="K559" s="8" t="str">
        <f>IF(Table4[[#This Row],[Total Amount]]=Table4[[#This Row],[Calculated Total]],"Correct","Check")</f>
        <v>Correct</v>
      </c>
      <c r="L559" s="8"/>
    </row>
    <row r="560" spans="1:12" hidden="1">
      <c r="A560" s="2">
        <v>989</v>
      </c>
      <c r="B560" s="1">
        <v>45288</v>
      </c>
      <c r="C560" t="s">
        <v>1002</v>
      </c>
      <c r="D560" t="s">
        <v>13</v>
      </c>
      <c r="E560">
        <v>44</v>
      </c>
      <c r="F560" s="2" t="s">
        <v>16</v>
      </c>
      <c r="G560">
        <v>1</v>
      </c>
      <c r="H560">
        <v>25</v>
      </c>
      <c r="I560" s="8">
        <f>Table4[[#This Row],[Quantity]]*Table4[[#This Row],[Price per Unit]]</f>
        <v>25</v>
      </c>
      <c r="J560">
        <v>25</v>
      </c>
      <c r="K560" s="8" t="str">
        <f>IF(Table4[[#This Row],[Total Amount]]=Table4[[#This Row],[Calculated Total]],"Correct","Check")</f>
        <v>Correct</v>
      </c>
      <c r="L560" s="8"/>
    </row>
    <row r="561" spans="1:12">
      <c r="A561" s="2">
        <v>503</v>
      </c>
      <c r="B561" s="1">
        <v>45224</v>
      </c>
      <c r="C561" t="s">
        <v>516</v>
      </c>
      <c r="D561" t="s">
        <v>10</v>
      </c>
      <c r="E561">
        <v>45</v>
      </c>
      <c r="F561" s="2" t="s">
        <v>11</v>
      </c>
      <c r="G561">
        <v>4</v>
      </c>
      <c r="H561">
        <v>500</v>
      </c>
      <c r="I561" s="8">
        <f>Table4[[#This Row],[Quantity]]*Table4[[#This Row],[Price per Unit]]</f>
        <v>2000</v>
      </c>
      <c r="J561">
        <v>2000</v>
      </c>
      <c r="K561" s="8" t="str">
        <f>IF(Table4[[#This Row],[Total Amount]]=Table4[[#This Row],[Calculated Total]],"Correct","Check")</f>
        <v>Correct</v>
      </c>
      <c r="L561" s="8"/>
    </row>
    <row r="562" spans="1:12">
      <c r="A562" s="2">
        <v>199</v>
      </c>
      <c r="B562" s="1">
        <v>45264</v>
      </c>
      <c r="C562" t="s">
        <v>212</v>
      </c>
      <c r="D562" t="s">
        <v>10</v>
      </c>
      <c r="E562">
        <v>45</v>
      </c>
      <c r="F562" s="2" t="s">
        <v>11</v>
      </c>
      <c r="G562">
        <v>3</v>
      </c>
      <c r="H562">
        <v>500</v>
      </c>
      <c r="I562" s="8">
        <f>Table4[[#This Row],[Quantity]]*Table4[[#This Row],[Price per Unit]]</f>
        <v>1500</v>
      </c>
      <c r="J562">
        <v>1500</v>
      </c>
      <c r="K562" s="8" t="str">
        <f>IF(Table4[[#This Row],[Total Amount]]=Table4[[#This Row],[Calculated Total]],"Correct","Check")</f>
        <v>Correct</v>
      </c>
      <c r="L562" s="8"/>
    </row>
    <row r="563" spans="1:12" hidden="1">
      <c r="A563" s="2">
        <v>534</v>
      </c>
      <c r="B563" s="1">
        <v>45087</v>
      </c>
      <c r="C563" t="s">
        <v>547</v>
      </c>
      <c r="D563" t="s">
        <v>10</v>
      </c>
      <c r="E563">
        <v>45</v>
      </c>
      <c r="F563" s="2" t="s">
        <v>14</v>
      </c>
      <c r="G563">
        <v>2</v>
      </c>
      <c r="H563">
        <v>500</v>
      </c>
      <c r="I563" s="8">
        <f>Table4[[#This Row],[Quantity]]*Table4[[#This Row],[Price per Unit]]</f>
        <v>1000</v>
      </c>
      <c r="J563">
        <v>1000</v>
      </c>
      <c r="K563" s="8" t="str">
        <f>IF(Table4[[#This Row],[Total Amount]]=Table4[[#This Row],[Calculated Total]],"Correct","Check")</f>
        <v>Correct</v>
      </c>
      <c r="L563" s="8"/>
    </row>
    <row r="564" spans="1:12">
      <c r="A564" s="2">
        <v>551</v>
      </c>
      <c r="B564" s="1">
        <v>45121</v>
      </c>
      <c r="C564" t="s">
        <v>564</v>
      </c>
      <c r="D564" t="s">
        <v>10</v>
      </c>
      <c r="E564">
        <v>45</v>
      </c>
      <c r="F564" s="2" t="s">
        <v>16</v>
      </c>
      <c r="G564">
        <v>3</v>
      </c>
      <c r="H564">
        <v>300</v>
      </c>
      <c r="I564" s="8">
        <f>Table4[[#This Row],[Quantity]]*Table4[[#This Row],[Price per Unit]]</f>
        <v>900</v>
      </c>
      <c r="J564">
        <v>900</v>
      </c>
      <c r="K564" s="8" t="str">
        <f>IF(Table4[[#This Row],[Total Amount]]=Table4[[#This Row],[Calculated Total]],"Correct","Check")</f>
        <v>Correct</v>
      </c>
      <c r="L564" s="8"/>
    </row>
    <row r="565" spans="1:12">
      <c r="A565" s="2">
        <v>259</v>
      </c>
      <c r="B565" s="1">
        <v>45147</v>
      </c>
      <c r="C565" t="s">
        <v>272</v>
      </c>
      <c r="D565" t="s">
        <v>13</v>
      </c>
      <c r="E565">
        <v>45</v>
      </c>
      <c r="F565" s="2" t="s">
        <v>14</v>
      </c>
      <c r="G565">
        <v>4</v>
      </c>
      <c r="H565">
        <v>50</v>
      </c>
      <c r="I565" s="8">
        <f>Table4[[#This Row],[Quantity]]*Table4[[#This Row],[Price per Unit]]</f>
        <v>200</v>
      </c>
      <c r="J565">
        <v>200</v>
      </c>
      <c r="K565" s="8" t="str">
        <f>IF(Table4[[#This Row],[Total Amount]]=Table4[[#This Row],[Calculated Total]],"Correct","Check")</f>
        <v>Correct</v>
      </c>
      <c r="L565" s="8"/>
    </row>
    <row r="566" spans="1:12" hidden="1">
      <c r="A566" s="2">
        <v>177</v>
      </c>
      <c r="B566" s="1">
        <v>45009</v>
      </c>
      <c r="C566" t="s">
        <v>190</v>
      </c>
      <c r="D566" t="s">
        <v>10</v>
      </c>
      <c r="E566">
        <v>45</v>
      </c>
      <c r="F566" s="2" t="s">
        <v>11</v>
      </c>
      <c r="G566">
        <v>2</v>
      </c>
      <c r="H566">
        <v>50</v>
      </c>
      <c r="I566" s="8">
        <f>Table4[[#This Row],[Quantity]]*Table4[[#This Row],[Price per Unit]]</f>
        <v>100</v>
      </c>
      <c r="J566">
        <v>100</v>
      </c>
      <c r="K566" s="8" t="str">
        <f>IF(Table4[[#This Row],[Total Amount]]=Table4[[#This Row],[Calculated Total]],"Correct","Check")</f>
        <v>Correct</v>
      </c>
      <c r="L566" s="8"/>
    </row>
    <row r="567" spans="1:12" hidden="1">
      <c r="A567" s="2">
        <v>511</v>
      </c>
      <c r="B567" s="1">
        <v>45150</v>
      </c>
      <c r="C567" t="s">
        <v>524</v>
      </c>
      <c r="D567" t="s">
        <v>10</v>
      </c>
      <c r="E567">
        <v>45</v>
      </c>
      <c r="F567" s="2" t="s">
        <v>11</v>
      </c>
      <c r="G567">
        <v>2</v>
      </c>
      <c r="H567">
        <v>50</v>
      </c>
      <c r="I567" s="8">
        <f>Table4[[#This Row],[Quantity]]*Table4[[#This Row],[Price per Unit]]</f>
        <v>100</v>
      </c>
      <c r="J567">
        <v>100</v>
      </c>
      <c r="K567" s="8" t="str">
        <f>IF(Table4[[#This Row],[Total Amount]]=Table4[[#This Row],[Calculated Total]],"Correct","Check")</f>
        <v>Correct</v>
      </c>
      <c r="L567" s="8"/>
    </row>
    <row r="568" spans="1:12">
      <c r="A568" s="2">
        <v>932</v>
      </c>
      <c r="B568" s="1">
        <v>44985</v>
      </c>
      <c r="C568" t="s">
        <v>945</v>
      </c>
      <c r="D568" t="s">
        <v>13</v>
      </c>
      <c r="E568">
        <v>45</v>
      </c>
      <c r="F568" s="2" t="s">
        <v>11</v>
      </c>
      <c r="G568">
        <v>4</v>
      </c>
      <c r="H568">
        <v>25</v>
      </c>
      <c r="I568" s="8">
        <f>Table4[[#This Row],[Quantity]]*Table4[[#This Row],[Price per Unit]]</f>
        <v>100</v>
      </c>
      <c r="J568">
        <v>100</v>
      </c>
      <c r="K568" s="8" t="str">
        <f>IF(Table4[[#This Row],[Total Amount]]=Table4[[#This Row],[Calculated Total]],"Correct","Check")</f>
        <v>Correct</v>
      </c>
      <c r="L568" s="8"/>
    </row>
    <row r="569" spans="1:12">
      <c r="A569" s="2">
        <v>953</v>
      </c>
      <c r="B569" s="1">
        <v>45042</v>
      </c>
      <c r="C569" t="s">
        <v>966</v>
      </c>
      <c r="D569" t="s">
        <v>10</v>
      </c>
      <c r="E569">
        <v>45</v>
      </c>
      <c r="F569" s="2" t="s">
        <v>11</v>
      </c>
      <c r="G569">
        <v>3</v>
      </c>
      <c r="H569">
        <v>30</v>
      </c>
      <c r="I569" s="8">
        <f>Table4[[#This Row],[Quantity]]*Table4[[#This Row],[Price per Unit]]</f>
        <v>90</v>
      </c>
      <c r="J569">
        <v>90</v>
      </c>
      <c r="K569" s="8" t="str">
        <f>IF(Table4[[#This Row],[Total Amount]]=Table4[[#This Row],[Calculated Total]],"Correct","Check")</f>
        <v>Correct</v>
      </c>
      <c r="L569" s="8"/>
    </row>
    <row r="570" spans="1:12" hidden="1">
      <c r="A570" s="2">
        <v>565</v>
      </c>
      <c r="B570" s="1">
        <v>45237</v>
      </c>
      <c r="C570" t="s">
        <v>578</v>
      </c>
      <c r="D570" t="s">
        <v>13</v>
      </c>
      <c r="E570">
        <v>45</v>
      </c>
      <c r="F570" s="2" t="s">
        <v>11</v>
      </c>
      <c r="G570">
        <v>2</v>
      </c>
      <c r="H570">
        <v>30</v>
      </c>
      <c r="I570" s="8">
        <f>Table4[[#This Row],[Quantity]]*Table4[[#This Row],[Price per Unit]]</f>
        <v>60</v>
      </c>
      <c r="J570">
        <v>60</v>
      </c>
      <c r="K570" s="8" t="str">
        <f>IF(Table4[[#This Row],[Total Amount]]=Table4[[#This Row],[Calculated Total]],"Correct","Check")</f>
        <v>Correct</v>
      </c>
      <c r="L570" s="8"/>
    </row>
    <row r="571" spans="1:12" hidden="1">
      <c r="A571" s="2">
        <v>675</v>
      </c>
      <c r="B571" s="1">
        <v>45142</v>
      </c>
      <c r="C571" t="s">
        <v>688</v>
      </c>
      <c r="D571" t="s">
        <v>13</v>
      </c>
      <c r="E571">
        <v>45</v>
      </c>
      <c r="F571" s="2" t="s">
        <v>14</v>
      </c>
      <c r="G571">
        <v>2</v>
      </c>
      <c r="H571">
        <v>30</v>
      </c>
      <c r="I571" s="8">
        <f>Table4[[#This Row],[Quantity]]*Table4[[#This Row],[Price per Unit]]</f>
        <v>60</v>
      </c>
      <c r="J571">
        <v>60</v>
      </c>
      <c r="K571" s="8" t="str">
        <f>IF(Table4[[#This Row],[Total Amount]]=Table4[[#This Row],[Calculated Total]],"Correct","Check")</f>
        <v>Correct</v>
      </c>
      <c r="L571" s="8"/>
    </row>
    <row r="572" spans="1:12" hidden="1">
      <c r="A572" s="2">
        <v>40</v>
      </c>
      <c r="B572" s="1">
        <v>45099</v>
      </c>
      <c r="C572" t="s">
        <v>53</v>
      </c>
      <c r="D572" t="s">
        <v>10</v>
      </c>
      <c r="E572">
        <v>45</v>
      </c>
      <c r="F572" s="2" t="s">
        <v>11</v>
      </c>
      <c r="G572">
        <v>1</v>
      </c>
      <c r="H572">
        <v>50</v>
      </c>
      <c r="I572" s="8">
        <f>Table4[[#This Row],[Quantity]]*Table4[[#This Row],[Price per Unit]]</f>
        <v>50</v>
      </c>
      <c r="J572">
        <v>50</v>
      </c>
      <c r="K572" s="8" t="str">
        <f>IF(Table4[[#This Row],[Total Amount]]=Table4[[#This Row],[Calculated Total]],"Correct","Check")</f>
        <v>Correct</v>
      </c>
      <c r="L572" s="8"/>
    </row>
    <row r="573" spans="1:12" hidden="1">
      <c r="A573" s="2">
        <v>143</v>
      </c>
      <c r="B573" s="1">
        <v>45124</v>
      </c>
      <c r="C573" t="s">
        <v>156</v>
      </c>
      <c r="D573" t="s">
        <v>13</v>
      </c>
      <c r="E573">
        <v>45</v>
      </c>
      <c r="F573" s="2" t="s">
        <v>14</v>
      </c>
      <c r="G573">
        <v>1</v>
      </c>
      <c r="H573">
        <v>50</v>
      </c>
      <c r="I573" s="8">
        <f>Table4[[#This Row],[Quantity]]*Table4[[#This Row],[Price per Unit]]</f>
        <v>50</v>
      </c>
      <c r="J573">
        <v>50</v>
      </c>
      <c r="K573" s="8" t="str">
        <f>IF(Table4[[#This Row],[Total Amount]]=Table4[[#This Row],[Calculated Total]],"Correct","Check")</f>
        <v>Correct</v>
      </c>
      <c r="L573" s="8"/>
    </row>
    <row r="574" spans="1:12" hidden="1">
      <c r="A574" s="2">
        <v>6</v>
      </c>
      <c r="B574" s="1">
        <v>45041</v>
      </c>
      <c r="C574" t="s">
        <v>19</v>
      </c>
      <c r="D574" t="s">
        <v>13</v>
      </c>
      <c r="E574">
        <v>45</v>
      </c>
      <c r="F574" s="2" t="s">
        <v>11</v>
      </c>
      <c r="G574">
        <v>1</v>
      </c>
      <c r="H574">
        <v>30</v>
      </c>
      <c r="I574" s="8">
        <f>Table4[[#This Row],[Quantity]]*Table4[[#This Row],[Price per Unit]]</f>
        <v>30</v>
      </c>
      <c r="J574">
        <v>30</v>
      </c>
      <c r="K574" s="8" t="str">
        <f>IF(Table4[[#This Row],[Total Amount]]=Table4[[#This Row],[Calculated Total]],"Correct","Check")</f>
        <v>Correct</v>
      </c>
      <c r="L574" s="8"/>
    </row>
    <row r="575" spans="1:12" hidden="1">
      <c r="A575" s="2">
        <v>66</v>
      </c>
      <c r="B575" s="1">
        <v>45043</v>
      </c>
      <c r="C575" t="s">
        <v>79</v>
      </c>
      <c r="D575" t="s">
        <v>13</v>
      </c>
      <c r="E575">
        <v>45</v>
      </c>
      <c r="F575" s="2" t="s">
        <v>16</v>
      </c>
      <c r="G575">
        <v>1</v>
      </c>
      <c r="H575">
        <v>30</v>
      </c>
      <c r="I575" s="8">
        <f>Table4[[#This Row],[Quantity]]*Table4[[#This Row],[Price per Unit]]</f>
        <v>30</v>
      </c>
      <c r="J575">
        <v>30</v>
      </c>
      <c r="K575" s="8" t="str">
        <f>IF(Table4[[#This Row],[Total Amount]]=Table4[[#This Row],[Calculated Total]],"Correct","Check")</f>
        <v>Correct</v>
      </c>
      <c r="L575" s="8"/>
    </row>
    <row r="576" spans="1:12" hidden="1">
      <c r="A576" s="2">
        <v>451</v>
      </c>
      <c r="B576" s="1">
        <v>45276</v>
      </c>
      <c r="C576" t="s">
        <v>464</v>
      </c>
      <c r="D576" t="s">
        <v>13</v>
      </c>
      <c r="E576">
        <v>45</v>
      </c>
      <c r="F576" s="2" t="s">
        <v>16</v>
      </c>
      <c r="G576">
        <v>1</v>
      </c>
      <c r="H576">
        <v>30</v>
      </c>
      <c r="I576" s="8">
        <f>Table4[[#This Row],[Quantity]]*Table4[[#This Row],[Price per Unit]]</f>
        <v>30</v>
      </c>
      <c r="J576">
        <v>30</v>
      </c>
      <c r="K576" s="8" t="str">
        <f>IF(Table4[[#This Row],[Total Amount]]=Table4[[#This Row],[Calculated Total]],"Correct","Check")</f>
        <v>Correct</v>
      </c>
      <c r="L576" s="8"/>
    </row>
    <row r="577" spans="1:12" hidden="1">
      <c r="A577" s="2">
        <v>907</v>
      </c>
      <c r="B577" s="1">
        <v>44934</v>
      </c>
      <c r="C577" t="s">
        <v>920</v>
      </c>
      <c r="D577" t="s">
        <v>13</v>
      </c>
      <c r="E577">
        <v>45</v>
      </c>
      <c r="F577" s="2" t="s">
        <v>16</v>
      </c>
      <c r="G577">
        <v>1</v>
      </c>
      <c r="H577">
        <v>25</v>
      </c>
      <c r="I577" s="8">
        <f>Table4[[#This Row],[Quantity]]*Table4[[#This Row],[Price per Unit]]</f>
        <v>25</v>
      </c>
      <c r="J577">
        <v>25</v>
      </c>
      <c r="K577" s="8" t="str">
        <f>IF(Table4[[#This Row],[Total Amount]]=Table4[[#This Row],[Calculated Total]],"Correct","Check")</f>
        <v>Correct</v>
      </c>
      <c r="L577" s="8"/>
    </row>
    <row r="578" spans="1:12">
      <c r="A578" s="2">
        <v>592</v>
      </c>
      <c r="B578" s="1">
        <v>44950</v>
      </c>
      <c r="C578" t="s">
        <v>605</v>
      </c>
      <c r="D578" t="s">
        <v>13</v>
      </c>
      <c r="E578">
        <v>46</v>
      </c>
      <c r="F578" s="2" t="s">
        <v>11</v>
      </c>
      <c r="G578">
        <v>4</v>
      </c>
      <c r="H578">
        <v>500</v>
      </c>
      <c r="I578" s="8">
        <f>Table4[[#This Row],[Quantity]]*Table4[[#This Row],[Price per Unit]]</f>
        <v>2000</v>
      </c>
      <c r="J578">
        <v>2000</v>
      </c>
      <c r="K578" s="8" t="str">
        <f>IF(Table4[[#This Row],[Total Amount]]=Table4[[#This Row],[Calculated Total]],"Correct","Check")</f>
        <v>Correct</v>
      </c>
      <c r="L578" s="8"/>
    </row>
    <row r="579" spans="1:12">
      <c r="A579" s="2">
        <v>522</v>
      </c>
      <c r="B579" s="1">
        <v>44927</v>
      </c>
      <c r="C579" t="s">
        <v>535</v>
      </c>
      <c r="D579" t="s">
        <v>10</v>
      </c>
      <c r="E579">
        <v>46</v>
      </c>
      <c r="F579" s="2" t="s">
        <v>11</v>
      </c>
      <c r="G579">
        <v>3</v>
      </c>
      <c r="H579">
        <v>500</v>
      </c>
      <c r="I579" s="8">
        <f>Table4[[#This Row],[Quantity]]*Table4[[#This Row],[Price per Unit]]</f>
        <v>1500</v>
      </c>
      <c r="J579">
        <v>1500</v>
      </c>
      <c r="K579" s="8" t="str">
        <f>IF(Table4[[#This Row],[Total Amount]]=Table4[[#This Row],[Calculated Total]],"Correct","Check")</f>
        <v>Correct</v>
      </c>
      <c r="L579" s="8"/>
    </row>
    <row r="580" spans="1:12">
      <c r="A580" s="2">
        <v>524</v>
      </c>
      <c r="B580" s="1">
        <v>45202</v>
      </c>
      <c r="C580" t="s">
        <v>537</v>
      </c>
      <c r="D580" t="s">
        <v>10</v>
      </c>
      <c r="E580">
        <v>46</v>
      </c>
      <c r="F580" s="2" t="s">
        <v>11</v>
      </c>
      <c r="G580">
        <v>4</v>
      </c>
      <c r="H580">
        <v>300</v>
      </c>
      <c r="I580" s="8">
        <f>Table4[[#This Row],[Quantity]]*Table4[[#This Row],[Price per Unit]]</f>
        <v>1200</v>
      </c>
      <c r="J580">
        <v>1200</v>
      </c>
      <c r="K580" s="8" t="str">
        <f>IF(Table4[[#This Row],[Total Amount]]=Table4[[#This Row],[Calculated Total]],"Correct","Check")</f>
        <v>Correct</v>
      </c>
      <c r="L580" s="8"/>
    </row>
    <row r="581" spans="1:12">
      <c r="A581" s="2">
        <v>682</v>
      </c>
      <c r="B581" s="1">
        <v>45171</v>
      </c>
      <c r="C581" t="s">
        <v>695</v>
      </c>
      <c r="D581" t="s">
        <v>10</v>
      </c>
      <c r="E581">
        <v>46</v>
      </c>
      <c r="F581" s="2" t="s">
        <v>11</v>
      </c>
      <c r="G581">
        <v>4</v>
      </c>
      <c r="H581">
        <v>300</v>
      </c>
      <c r="I581" s="8">
        <f>Table4[[#This Row],[Quantity]]*Table4[[#This Row],[Price per Unit]]</f>
        <v>1200</v>
      </c>
      <c r="J581">
        <v>1200</v>
      </c>
      <c r="K581" s="8" t="str">
        <f>IF(Table4[[#This Row],[Total Amount]]=Table4[[#This Row],[Calculated Total]],"Correct","Check")</f>
        <v>Correct</v>
      </c>
      <c r="L581" s="8"/>
    </row>
    <row r="582" spans="1:12">
      <c r="A582" s="2">
        <v>908</v>
      </c>
      <c r="B582" s="1">
        <v>45289</v>
      </c>
      <c r="C582" t="s">
        <v>921</v>
      </c>
      <c r="D582" t="s">
        <v>10</v>
      </c>
      <c r="E582">
        <v>46</v>
      </c>
      <c r="F582" s="2" t="s">
        <v>11</v>
      </c>
      <c r="G582">
        <v>4</v>
      </c>
      <c r="H582">
        <v>300</v>
      </c>
      <c r="I582" s="8">
        <f>Table4[[#This Row],[Quantity]]*Table4[[#This Row],[Price per Unit]]</f>
        <v>1200</v>
      </c>
      <c r="J582">
        <v>1200</v>
      </c>
      <c r="K582" s="8" t="str">
        <f>IF(Table4[[#This Row],[Total Amount]]=Table4[[#This Row],[Calculated Total]],"Correct","Check")</f>
        <v>Correct</v>
      </c>
      <c r="L582" s="8"/>
    </row>
    <row r="583" spans="1:12" hidden="1">
      <c r="A583" s="2">
        <v>137</v>
      </c>
      <c r="B583" s="1">
        <v>45248</v>
      </c>
      <c r="C583" t="s">
        <v>150</v>
      </c>
      <c r="D583" t="s">
        <v>10</v>
      </c>
      <c r="E583">
        <v>46</v>
      </c>
      <c r="F583" s="2" t="s">
        <v>11</v>
      </c>
      <c r="G583">
        <v>2</v>
      </c>
      <c r="H583">
        <v>500</v>
      </c>
      <c r="I583" s="8">
        <f>Table4[[#This Row],[Quantity]]*Table4[[#This Row],[Price per Unit]]</f>
        <v>1000</v>
      </c>
      <c r="J583">
        <v>1000</v>
      </c>
      <c r="K583" s="8" t="str">
        <f>IF(Table4[[#This Row],[Total Amount]]=Table4[[#This Row],[Calculated Total]],"Correct","Check")</f>
        <v>Correct</v>
      </c>
      <c r="L583" s="8"/>
    </row>
    <row r="584" spans="1:12" hidden="1">
      <c r="A584" s="2">
        <v>404</v>
      </c>
      <c r="B584" s="1">
        <v>45071</v>
      </c>
      <c r="C584" t="s">
        <v>417</v>
      </c>
      <c r="D584" t="s">
        <v>10</v>
      </c>
      <c r="E584">
        <v>46</v>
      </c>
      <c r="F584" s="2" t="s">
        <v>16</v>
      </c>
      <c r="G584">
        <v>2</v>
      </c>
      <c r="H584">
        <v>500</v>
      </c>
      <c r="I584" s="8">
        <f>Table4[[#This Row],[Quantity]]*Table4[[#This Row],[Price per Unit]]</f>
        <v>1000</v>
      </c>
      <c r="J584">
        <v>1000</v>
      </c>
      <c r="K584" s="8" t="str">
        <f>IF(Table4[[#This Row],[Total Amount]]=Table4[[#This Row],[Calculated Total]],"Correct","Check")</f>
        <v>Correct</v>
      </c>
      <c r="L584" s="8"/>
    </row>
    <row r="585" spans="1:12">
      <c r="A585" s="2">
        <v>407</v>
      </c>
      <c r="B585" s="1">
        <v>45102</v>
      </c>
      <c r="C585" t="s">
        <v>420</v>
      </c>
      <c r="D585" t="s">
        <v>13</v>
      </c>
      <c r="E585">
        <v>46</v>
      </c>
      <c r="F585" s="2" t="s">
        <v>16</v>
      </c>
      <c r="G585">
        <v>3</v>
      </c>
      <c r="H585">
        <v>300</v>
      </c>
      <c r="I585" s="8">
        <f>Table4[[#This Row],[Quantity]]*Table4[[#This Row],[Price per Unit]]</f>
        <v>900</v>
      </c>
      <c r="J585">
        <v>900</v>
      </c>
      <c r="K585" s="8" t="str">
        <f>IF(Table4[[#This Row],[Total Amount]]=Table4[[#This Row],[Calculated Total]],"Correct","Check")</f>
        <v>Correct</v>
      </c>
      <c r="L585" s="8"/>
    </row>
    <row r="586" spans="1:12">
      <c r="A586" s="2">
        <v>540</v>
      </c>
      <c r="B586" s="1">
        <v>45268</v>
      </c>
      <c r="C586" t="s">
        <v>553</v>
      </c>
      <c r="D586" t="s">
        <v>13</v>
      </c>
      <c r="E586">
        <v>46</v>
      </c>
      <c r="F586" s="2" t="s">
        <v>16</v>
      </c>
      <c r="G586">
        <v>3</v>
      </c>
      <c r="H586">
        <v>300</v>
      </c>
      <c r="I586" s="8">
        <f>Table4[[#This Row],[Quantity]]*Table4[[#This Row],[Price per Unit]]</f>
        <v>900</v>
      </c>
      <c r="J586">
        <v>900</v>
      </c>
      <c r="K586" s="8" t="str">
        <f>IF(Table4[[#This Row],[Total Amount]]=Table4[[#This Row],[Calculated Total]],"Correct","Check")</f>
        <v>Correct</v>
      </c>
      <c r="L586" s="8"/>
    </row>
    <row r="587" spans="1:12" hidden="1">
      <c r="A587" s="2">
        <v>638</v>
      </c>
      <c r="B587" s="1">
        <v>45157</v>
      </c>
      <c r="C587" t="s">
        <v>651</v>
      </c>
      <c r="D587" t="s">
        <v>10</v>
      </c>
      <c r="E587">
        <v>46</v>
      </c>
      <c r="F587" s="2" t="s">
        <v>16</v>
      </c>
      <c r="G587">
        <v>1</v>
      </c>
      <c r="H587">
        <v>500</v>
      </c>
      <c r="I587" s="8">
        <f>Table4[[#This Row],[Quantity]]*Table4[[#This Row],[Price per Unit]]</f>
        <v>500</v>
      </c>
      <c r="J587">
        <v>500</v>
      </c>
      <c r="K587" s="8" t="str">
        <f>IF(Table4[[#This Row],[Total Amount]]=Table4[[#This Row],[Calculated Total]],"Correct","Check")</f>
        <v>Correct</v>
      </c>
      <c r="L587" s="8"/>
    </row>
    <row r="588" spans="1:12" hidden="1">
      <c r="A588" s="2">
        <v>939</v>
      </c>
      <c r="B588" s="1">
        <v>45278</v>
      </c>
      <c r="C588" t="s">
        <v>952</v>
      </c>
      <c r="D588" t="s">
        <v>13</v>
      </c>
      <c r="E588">
        <v>46</v>
      </c>
      <c r="F588" s="2" t="s">
        <v>16</v>
      </c>
      <c r="G588">
        <v>1</v>
      </c>
      <c r="H588">
        <v>300</v>
      </c>
      <c r="I588" s="8">
        <f>Table4[[#This Row],[Quantity]]*Table4[[#This Row],[Price per Unit]]</f>
        <v>300</v>
      </c>
      <c r="J588">
        <v>300</v>
      </c>
      <c r="K588" s="8" t="str">
        <f>IF(Table4[[#This Row],[Total Amount]]=Table4[[#This Row],[Calculated Total]],"Correct","Check")</f>
        <v>Correct</v>
      </c>
      <c r="L588" s="8"/>
    </row>
    <row r="589" spans="1:12" hidden="1">
      <c r="A589" s="2">
        <v>826</v>
      </c>
      <c r="B589" s="1">
        <v>45218</v>
      </c>
      <c r="C589" t="s">
        <v>839</v>
      </c>
      <c r="D589" t="s">
        <v>13</v>
      </c>
      <c r="E589">
        <v>46</v>
      </c>
      <c r="F589" s="2" t="s">
        <v>14</v>
      </c>
      <c r="G589">
        <v>1</v>
      </c>
      <c r="H589">
        <v>300</v>
      </c>
      <c r="I589" s="8">
        <f>Table4[[#This Row],[Quantity]]*Table4[[#This Row],[Price per Unit]]</f>
        <v>300</v>
      </c>
      <c r="J589">
        <v>300</v>
      </c>
      <c r="K589" s="8" t="str">
        <f>IF(Table4[[#This Row],[Total Amount]]=Table4[[#This Row],[Calculated Total]],"Correct","Check")</f>
        <v>Correct</v>
      </c>
      <c r="L589" s="8"/>
    </row>
    <row r="590" spans="1:12">
      <c r="A590" s="2">
        <v>377</v>
      </c>
      <c r="B590" s="1">
        <v>44994</v>
      </c>
      <c r="C590" t="s">
        <v>390</v>
      </c>
      <c r="D590" t="s">
        <v>13</v>
      </c>
      <c r="E590">
        <v>46</v>
      </c>
      <c r="F590" s="2" t="s">
        <v>14</v>
      </c>
      <c r="G590">
        <v>4</v>
      </c>
      <c r="H590">
        <v>50</v>
      </c>
      <c r="I590" s="8">
        <f>Table4[[#This Row],[Quantity]]*Table4[[#This Row],[Price per Unit]]</f>
        <v>200</v>
      </c>
      <c r="J590">
        <v>200</v>
      </c>
      <c r="K590" s="8" t="str">
        <f>IF(Table4[[#This Row],[Total Amount]]=Table4[[#This Row],[Calculated Total]],"Correct","Check")</f>
        <v>Correct</v>
      </c>
      <c r="L590" s="8"/>
    </row>
    <row r="591" spans="1:12">
      <c r="A591" s="2">
        <v>554</v>
      </c>
      <c r="B591" s="1">
        <v>45242</v>
      </c>
      <c r="C591" t="s">
        <v>567</v>
      </c>
      <c r="D591" t="s">
        <v>13</v>
      </c>
      <c r="E591">
        <v>46</v>
      </c>
      <c r="F591" s="2" t="s">
        <v>11</v>
      </c>
      <c r="G591">
        <v>3</v>
      </c>
      <c r="H591">
        <v>50</v>
      </c>
      <c r="I591" s="8">
        <f>Table4[[#This Row],[Quantity]]*Table4[[#This Row],[Price per Unit]]</f>
        <v>150</v>
      </c>
      <c r="J591">
        <v>150</v>
      </c>
      <c r="K591" s="8" t="str">
        <f>IF(Table4[[#This Row],[Total Amount]]=Table4[[#This Row],[Calculated Total]],"Correct","Check")</f>
        <v>Correct</v>
      </c>
      <c r="L591" s="8"/>
    </row>
    <row r="592" spans="1:12">
      <c r="A592" s="2">
        <v>870</v>
      </c>
      <c r="B592" s="1">
        <v>45115</v>
      </c>
      <c r="C592" t="s">
        <v>883</v>
      </c>
      <c r="D592" t="s">
        <v>13</v>
      </c>
      <c r="E592">
        <v>46</v>
      </c>
      <c r="F592" s="2" t="s">
        <v>16</v>
      </c>
      <c r="G592">
        <v>4</v>
      </c>
      <c r="H592">
        <v>30</v>
      </c>
      <c r="I592" s="8">
        <f>Table4[[#This Row],[Quantity]]*Table4[[#This Row],[Price per Unit]]</f>
        <v>120</v>
      </c>
      <c r="J592">
        <v>120</v>
      </c>
      <c r="K592" s="8" t="str">
        <f>IF(Table4[[#This Row],[Total Amount]]=Table4[[#This Row],[Calculated Total]],"Correct","Check")</f>
        <v>Correct</v>
      </c>
      <c r="L592" s="8"/>
    </row>
    <row r="593" spans="1:12">
      <c r="A593" s="2">
        <v>329</v>
      </c>
      <c r="B593" s="1">
        <v>44956</v>
      </c>
      <c r="C593" t="s">
        <v>342</v>
      </c>
      <c r="D593" t="s">
        <v>13</v>
      </c>
      <c r="E593">
        <v>46</v>
      </c>
      <c r="F593" s="2" t="s">
        <v>16</v>
      </c>
      <c r="G593">
        <v>4</v>
      </c>
      <c r="H593">
        <v>25</v>
      </c>
      <c r="I593" s="8">
        <f>Table4[[#This Row],[Quantity]]*Table4[[#This Row],[Price per Unit]]</f>
        <v>100</v>
      </c>
      <c r="J593">
        <v>100</v>
      </c>
      <c r="K593" s="8" t="str">
        <f>IF(Table4[[#This Row],[Total Amount]]=Table4[[#This Row],[Calculated Total]],"Correct","Check")</f>
        <v>Correct</v>
      </c>
      <c r="L593" s="8"/>
    </row>
    <row r="594" spans="1:12">
      <c r="A594" s="2">
        <v>775</v>
      </c>
      <c r="B594" s="1">
        <v>44965</v>
      </c>
      <c r="C594" t="s">
        <v>788</v>
      </c>
      <c r="D594" t="s">
        <v>13</v>
      </c>
      <c r="E594">
        <v>46</v>
      </c>
      <c r="F594" s="2" t="s">
        <v>16</v>
      </c>
      <c r="G594">
        <v>4</v>
      </c>
      <c r="H594">
        <v>25</v>
      </c>
      <c r="I594" s="8">
        <f>Table4[[#This Row],[Quantity]]*Table4[[#This Row],[Price per Unit]]</f>
        <v>100</v>
      </c>
      <c r="J594">
        <v>100</v>
      </c>
      <c r="K594" s="8" t="str">
        <f>IF(Table4[[#This Row],[Total Amount]]=Table4[[#This Row],[Calculated Total]],"Correct","Check")</f>
        <v>Correct</v>
      </c>
      <c r="L594" s="8"/>
    </row>
    <row r="595" spans="1:12">
      <c r="A595" s="2">
        <v>383</v>
      </c>
      <c r="B595" s="1">
        <v>45007</v>
      </c>
      <c r="C595" t="s">
        <v>396</v>
      </c>
      <c r="D595" t="s">
        <v>13</v>
      </c>
      <c r="E595">
        <v>46</v>
      </c>
      <c r="F595" s="2" t="s">
        <v>11</v>
      </c>
      <c r="G595">
        <v>3</v>
      </c>
      <c r="H595">
        <v>30</v>
      </c>
      <c r="I595" s="8">
        <f>Table4[[#This Row],[Quantity]]*Table4[[#This Row],[Price per Unit]]</f>
        <v>90</v>
      </c>
      <c r="J595">
        <v>90</v>
      </c>
      <c r="K595" s="8" t="str">
        <f>IF(Table4[[#This Row],[Total Amount]]=Table4[[#This Row],[Calculated Total]],"Correct","Check")</f>
        <v>Correct</v>
      </c>
      <c r="L595" s="8"/>
    </row>
    <row r="596" spans="1:12">
      <c r="A596" s="2">
        <v>982</v>
      </c>
      <c r="B596" s="1">
        <v>45279</v>
      </c>
      <c r="C596" t="s">
        <v>995</v>
      </c>
      <c r="D596" t="s">
        <v>13</v>
      </c>
      <c r="E596">
        <v>46</v>
      </c>
      <c r="F596" s="2" t="s">
        <v>11</v>
      </c>
      <c r="G596">
        <v>3</v>
      </c>
      <c r="H596">
        <v>30</v>
      </c>
      <c r="I596" s="8">
        <f>Table4[[#This Row],[Quantity]]*Table4[[#This Row],[Price per Unit]]</f>
        <v>90</v>
      </c>
      <c r="J596">
        <v>90</v>
      </c>
      <c r="K596" s="8" t="str">
        <f>IF(Table4[[#This Row],[Total Amount]]=Table4[[#This Row],[Calculated Total]],"Correct","Check")</f>
        <v>Correct</v>
      </c>
      <c r="L596" s="8"/>
    </row>
    <row r="597" spans="1:12" hidden="1">
      <c r="A597" s="2">
        <v>499</v>
      </c>
      <c r="B597" s="1">
        <v>44941</v>
      </c>
      <c r="C597" t="s">
        <v>512</v>
      </c>
      <c r="D597" t="s">
        <v>10</v>
      </c>
      <c r="E597">
        <v>46</v>
      </c>
      <c r="F597" s="2" t="s">
        <v>11</v>
      </c>
      <c r="G597">
        <v>2</v>
      </c>
      <c r="H597">
        <v>30</v>
      </c>
      <c r="I597" s="8">
        <f>Table4[[#This Row],[Quantity]]*Table4[[#This Row],[Price per Unit]]</f>
        <v>60</v>
      </c>
      <c r="J597">
        <v>60</v>
      </c>
      <c r="K597" s="8" t="str">
        <f>IF(Table4[[#This Row],[Total Amount]]=Table4[[#This Row],[Calculated Total]],"Correct","Check")</f>
        <v>Correct</v>
      </c>
      <c r="L597" s="8"/>
    </row>
    <row r="598" spans="1:12" hidden="1">
      <c r="A598" s="2">
        <v>7</v>
      </c>
      <c r="B598" s="1">
        <v>44998</v>
      </c>
      <c r="C598" t="s">
        <v>20</v>
      </c>
      <c r="D598" t="s">
        <v>10</v>
      </c>
      <c r="E598">
        <v>46</v>
      </c>
      <c r="F598" s="2" t="s">
        <v>14</v>
      </c>
      <c r="G598">
        <v>2</v>
      </c>
      <c r="H598">
        <v>25</v>
      </c>
      <c r="I598" s="8">
        <f>Table4[[#This Row],[Quantity]]*Table4[[#This Row],[Price per Unit]]</f>
        <v>50</v>
      </c>
      <c r="J598">
        <v>50</v>
      </c>
      <c r="K598" s="8" t="str">
        <f>IF(Table4[[#This Row],[Total Amount]]=Table4[[#This Row],[Calculated Total]],"Correct","Check")</f>
        <v>Correct</v>
      </c>
      <c r="L598" s="8"/>
    </row>
    <row r="599" spans="1:12" hidden="1">
      <c r="A599" s="2">
        <v>106</v>
      </c>
      <c r="B599" s="1">
        <v>45064</v>
      </c>
      <c r="C599" t="s">
        <v>119</v>
      </c>
      <c r="D599" t="s">
        <v>13</v>
      </c>
      <c r="E599">
        <v>46</v>
      </c>
      <c r="F599" s="2" t="s">
        <v>14</v>
      </c>
      <c r="G599">
        <v>1</v>
      </c>
      <c r="H599">
        <v>50</v>
      </c>
      <c r="I599" s="8">
        <f>Table4[[#This Row],[Quantity]]*Table4[[#This Row],[Price per Unit]]</f>
        <v>50</v>
      </c>
      <c r="J599">
        <v>50</v>
      </c>
      <c r="K599" s="8" t="str">
        <f>IF(Table4[[#This Row],[Total Amount]]=Table4[[#This Row],[Calculated Total]],"Correct","Check")</f>
        <v>Correct</v>
      </c>
      <c r="L599" s="8"/>
    </row>
    <row r="600" spans="1:12" hidden="1">
      <c r="A600" s="2">
        <v>802</v>
      </c>
      <c r="B600" s="1">
        <v>45112</v>
      </c>
      <c r="C600" t="s">
        <v>815</v>
      </c>
      <c r="D600" t="s">
        <v>13</v>
      </c>
      <c r="E600">
        <v>46</v>
      </c>
      <c r="F600" s="2" t="s">
        <v>11</v>
      </c>
      <c r="G600">
        <v>1</v>
      </c>
      <c r="H600">
        <v>30</v>
      </c>
      <c r="I600" s="8">
        <f>Table4[[#This Row],[Quantity]]*Table4[[#This Row],[Price per Unit]]</f>
        <v>30</v>
      </c>
      <c r="J600">
        <v>30</v>
      </c>
      <c r="K600" s="8" t="str">
        <f>IF(Table4[[#This Row],[Total Amount]]=Table4[[#This Row],[Calculated Total]],"Correct","Check")</f>
        <v>Correct</v>
      </c>
      <c r="L600" s="8"/>
    </row>
    <row r="601" spans="1:12" hidden="1">
      <c r="A601" s="2">
        <v>454</v>
      </c>
      <c r="B601" s="1">
        <v>44979</v>
      </c>
      <c r="C601" t="s">
        <v>467</v>
      </c>
      <c r="D601" t="s">
        <v>13</v>
      </c>
      <c r="E601">
        <v>46</v>
      </c>
      <c r="F601" s="2" t="s">
        <v>11</v>
      </c>
      <c r="G601">
        <v>1</v>
      </c>
      <c r="H601">
        <v>25</v>
      </c>
      <c r="I601" s="8">
        <f>Table4[[#This Row],[Quantity]]*Table4[[#This Row],[Price per Unit]]</f>
        <v>25</v>
      </c>
      <c r="J601">
        <v>25</v>
      </c>
      <c r="K601" s="8" t="str">
        <f>IF(Table4[[#This Row],[Total Amount]]=Table4[[#This Row],[Calculated Total]],"Correct","Check")</f>
        <v>Correct</v>
      </c>
      <c r="L601" s="8"/>
    </row>
    <row r="602" spans="1:12" hidden="1">
      <c r="A602" s="2">
        <v>825</v>
      </c>
      <c r="B602" s="1">
        <v>45164</v>
      </c>
      <c r="C602" t="s">
        <v>838</v>
      </c>
      <c r="D602" t="s">
        <v>13</v>
      </c>
      <c r="E602">
        <v>46</v>
      </c>
      <c r="F602" s="2" t="s">
        <v>11</v>
      </c>
      <c r="G602">
        <v>1</v>
      </c>
      <c r="H602">
        <v>25</v>
      </c>
      <c r="I602" s="8">
        <f>Table4[[#This Row],[Quantity]]*Table4[[#This Row],[Price per Unit]]</f>
        <v>25</v>
      </c>
      <c r="J602">
        <v>25</v>
      </c>
      <c r="K602" s="8" t="str">
        <f>IF(Table4[[#This Row],[Total Amount]]=Table4[[#This Row],[Calculated Total]],"Correct","Check")</f>
        <v>Correct</v>
      </c>
      <c r="L602" s="8"/>
    </row>
    <row r="603" spans="1:12">
      <c r="A603" s="2">
        <v>832</v>
      </c>
      <c r="B603" s="1">
        <v>45180</v>
      </c>
      <c r="C603" t="s">
        <v>845</v>
      </c>
      <c r="D603" t="s">
        <v>10</v>
      </c>
      <c r="E603">
        <v>47</v>
      </c>
      <c r="F603" s="2" t="s">
        <v>11</v>
      </c>
      <c r="G603">
        <v>4</v>
      </c>
      <c r="H603">
        <v>500</v>
      </c>
      <c r="I603" s="8">
        <f>Table4[[#This Row],[Quantity]]*Table4[[#This Row],[Price per Unit]]</f>
        <v>2000</v>
      </c>
      <c r="J603">
        <v>2000</v>
      </c>
      <c r="K603" s="8" t="str">
        <f>IF(Table4[[#This Row],[Total Amount]]=Table4[[#This Row],[Calculated Total]],"Correct","Check")</f>
        <v>Correct</v>
      </c>
      <c r="L603" s="8"/>
    </row>
    <row r="604" spans="1:12">
      <c r="A604" s="2">
        <v>78</v>
      </c>
      <c r="B604" s="1">
        <v>45108</v>
      </c>
      <c r="C604" t="s">
        <v>91</v>
      </c>
      <c r="D604" t="s">
        <v>13</v>
      </c>
      <c r="E604">
        <v>47</v>
      </c>
      <c r="F604" s="2" t="s">
        <v>14</v>
      </c>
      <c r="G604">
        <v>3</v>
      </c>
      <c r="H604">
        <v>500</v>
      </c>
      <c r="I604" s="8">
        <f>Table4[[#This Row],[Quantity]]*Table4[[#This Row],[Price per Unit]]</f>
        <v>1500</v>
      </c>
      <c r="J604">
        <v>1500</v>
      </c>
      <c r="K604" s="8" t="str">
        <f>IF(Table4[[#This Row],[Total Amount]]=Table4[[#This Row],[Calculated Total]],"Correct","Check")</f>
        <v>Correct</v>
      </c>
      <c r="L604" s="8"/>
    </row>
    <row r="605" spans="1:12">
      <c r="A605" s="2">
        <v>164</v>
      </c>
      <c r="B605" s="1">
        <v>45061</v>
      </c>
      <c r="C605" t="s">
        <v>177</v>
      </c>
      <c r="D605" t="s">
        <v>13</v>
      </c>
      <c r="E605">
        <v>47</v>
      </c>
      <c r="F605" s="2" t="s">
        <v>11</v>
      </c>
      <c r="G605">
        <v>3</v>
      </c>
      <c r="H605">
        <v>500</v>
      </c>
      <c r="I605" s="8">
        <f>Table4[[#This Row],[Quantity]]*Table4[[#This Row],[Price per Unit]]</f>
        <v>1500</v>
      </c>
      <c r="J605">
        <v>1500</v>
      </c>
      <c r="K605" s="8" t="str">
        <f>IF(Table4[[#This Row],[Total Amount]]=Table4[[#This Row],[Calculated Total]],"Correct","Check")</f>
        <v>Correct</v>
      </c>
      <c r="L605" s="8"/>
    </row>
    <row r="606" spans="1:12">
      <c r="A606" s="2">
        <v>726</v>
      </c>
      <c r="B606" s="1">
        <v>45094</v>
      </c>
      <c r="C606" t="s">
        <v>739</v>
      </c>
      <c r="D606" t="s">
        <v>10</v>
      </c>
      <c r="E606">
        <v>47</v>
      </c>
      <c r="F606" s="2" t="s">
        <v>14</v>
      </c>
      <c r="G606">
        <v>4</v>
      </c>
      <c r="H606">
        <v>300</v>
      </c>
      <c r="I606" s="8">
        <f>Table4[[#This Row],[Quantity]]*Table4[[#This Row],[Price per Unit]]</f>
        <v>1200</v>
      </c>
      <c r="J606">
        <v>1200</v>
      </c>
      <c r="K606" s="8" t="str">
        <f>IF(Table4[[#This Row],[Total Amount]]=Table4[[#This Row],[Calculated Total]],"Correct","Check")</f>
        <v>Correct</v>
      </c>
      <c r="L606" s="8"/>
    </row>
    <row r="607" spans="1:12" hidden="1">
      <c r="A607" s="2">
        <v>94</v>
      </c>
      <c r="B607" s="1">
        <v>45065</v>
      </c>
      <c r="C607" t="s">
        <v>107</v>
      </c>
      <c r="D607" t="s">
        <v>13</v>
      </c>
      <c r="E607">
        <v>47</v>
      </c>
      <c r="F607" s="2" t="s">
        <v>11</v>
      </c>
      <c r="G607">
        <v>2</v>
      </c>
      <c r="H607">
        <v>500</v>
      </c>
      <c r="I607" s="8">
        <f>Table4[[#This Row],[Quantity]]*Table4[[#This Row],[Price per Unit]]</f>
        <v>1000</v>
      </c>
      <c r="J607">
        <v>1000</v>
      </c>
      <c r="K607" s="8" t="str">
        <f>IF(Table4[[#This Row],[Total Amount]]=Table4[[#This Row],[Calculated Total]],"Correct","Check")</f>
        <v>Correct</v>
      </c>
      <c r="L607" s="8"/>
    </row>
    <row r="608" spans="1:12" hidden="1">
      <c r="A608" s="2">
        <v>816</v>
      </c>
      <c r="B608" s="1">
        <v>45150</v>
      </c>
      <c r="C608" t="s">
        <v>829</v>
      </c>
      <c r="D608" t="s">
        <v>10</v>
      </c>
      <c r="E608">
        <v>47</v>
      </c>
      <c r="F608" s="2" t="s">
        <v>11</v>
      </c>
      <c r="G608">
        <v>2</v>
      </c>
      <c r="H608">
        <v>500</v>
      </c>
      <c r="I608" s="8">
        <f>Table4[[#This Row],[Quantity]]*Table4[[#This Row],[Price per Unit]]</f>
        <v>1000</v>
      </c>
      <c r="J608">
        <v>1000</v>
      </c>
      <c r="K608" s="8" t="str">
        <f>IF(Table4[[#This Row],[Total Amount]]=Table4[[#This Row],[Calculated Total]],"Correct","Check")</f>
        <v>Correct</v>
      </c>
      <c r="L608" s="8"/>
    </row>
    <row r="609" spans="1:12">
      <c r="A609" s="2">
        <v>264</v>
      </c>
      <c r="B609" s="1">
        <v>44954</v>
      </c>
      <c r="C609" t="s">
        <v>277</v>
      </c>
      <c r="D609" t="s">
        <v>10</v>
      </c>
      <c r="E609">
        <v>47</v>
      </c>
      <c r="F609" s="2" t="s">
        <v>14</v>
      </c>
      <c r="G609">
        <v>3</v>
      </c>
      <c r="H609">
        <v>300</v>
      </c>
      <c r="I609" s="8">
        <f>Table4[[#This Row],[Quantity]]*Table4[[#This Row],[Price per Unit]]</f>
        <v>900</v>
      </c>
      <c r="J609">
        <v>900</v>
      </c>
      <c r="K609" s="8" t="str">
        <f>IF(Table4[[#This Row],[Total Amount]]=Table4[[#This Row],[Calculated Total]],"Correct","Check")</f>
        <v>Correct</v>
      </c>
      <c r="L609" s="8"/>
    </row>
    <row r="610" spans="1:12">
      <c r="A610" s="2">
        <v>243</v>
      </c>
      <c r="B610" s="1">
        <v>45069</v>
      </c>
      <c r="C610" t="s">
        <v>256</v>
      </c>
      <c r="D610" t="s">
        <v>13</v>
      </c>
      <c r="E610">
        <v>47</v>
      </c>
      <c r="F610" s="2" t="s">
        <v>16</v>
      </c>
      <c r="G610">
        <v>3</v>
      </c>
      <c r="H610">
        <v>300</v>
      </c>
      <c r="I610" s="8">
        <f>Table4[[#This Row],[Quantity]]*Table4[[#This Row],[Price per Unit]]</f>
        <v>900</v>
      </c>
      <c r="J610">
        <v>900</v>
      </c>
      <c r="K610" s="8" t="str">
        <f>IF(Table4[[#This Row],[Total Amount]]=Table4[[#This Row],[Calculated Total]],"Correct","Check")</f>
        <v>Correct</v>
      </c>
      <c r="L610" s="8"/>
    </row>
    <row r="611" spans="1:12" hidden="1">
      <c r="A611" s="2">
        <v>838</v>
      </c>
      <c r="B611" s="1">
        <v>45059</v>
      </c>
      <c r="C611" t="s">
        <v>851</v>
      </c>
      <c r="D611" t="s">
        <v>10</v>
      </c>
      <c r="E611">
        <v>47</v>
      </c>
      <c r="F611" s="2" t="s">
        <v>16</v>
      </c>
      <c r="G611">
        <v>2</v>
      </c>
      <c r="H611">
        <v>300</v>
      </c>
      <c r="I611" s="8">
        <f>Table4[[#This Row],[Quantity]]*Table4[[#This Row],[Price per Unit]]</f>
        <v>600</v>
      </c>
      <c r="J611">
        <v>600</v>
      </c>
      <c r="K611" s="8" t="str">
        <f>IF(Table4[[#This Row],[Total Amount]]=Table4[[#This Row],[Calculated Total]],"Correct","Check")</f>
        <v>Correct</v>
      </c>
      <c r="L611" s="8"/>
    </row>
    <row r="612" spans="1:12" hidden="1">
      <c r="A612" s="2">
        <v>842</v>
      </c>
      <c r="B612" s="1">
        <v>45286</v>
      </c>
      <c r="C612" t="s">
        <v>855</v>
      </c>
      <c r="D612" t="s">
        <v>13</v>
      </c>
      <c r="E612">
        <v>47</v>
      </c>
      <c r="F612" s="2" t="s">
        <v>14</v>
      </c>
      <c r="G612">
        <v>2</v>
      </c>
      <c r="H612">
        <v>300</v>
      </c>
      <c r="I612" s="8">
        <f>Table4[[#This Row],[Quantity]]*Table4[[#This Row],[Price per Unit]]</f>
        <v>600</v>
      </c>
      <c r="J612">
        <v>600</v>
      </c>
      <c r="K612" s="8" t="str">
        <f>IF(Table4[[#This Row],[Total Amount]]=Table4[[#This Row],[Calculated Total]],"Correct","Check")</f>
        <v>Correct</v>
      </c>
      <c r="L612" s="8"/>
    </row>
    <row r="613" spans="1:12">
      <c r="A613" s="2">
        <v>335</v>
      </c>
      <c r="B613" s="1">
        <v>44961</v>
      </c>
      <c r="C613" t="s">
        <v>348</v>
      </c>
      <c r="D613" t="s">
        <v>13</v>
      </c>
      <c r="E613">
        <v>47</v>
      </c>
      <c r="F613" s="2" t="s">
        <v>11</v>
      </c>
      <c r="G613">
        <v>4</v>
      </c>
      <c r="H613">
        <v>30</v>
      </c>
      <c r="I613" s="8">
        <f>Table4[[#This Row],[Quantity]]*Table4[[#This Row],[Price per Unit]]</f>
        <v>120</v>
      </c>
      <c r="J613">
        <v>120</v>
      </c>
      <c r="K613" s="8" t="str">
        <f>IF(Table4[[#This Row],[Total Amount]]=Table4[[#This Row],[Calculated Total]],"Correct","Check")</f>
        <v>Correct</v>
      </c>
      <c r="L613" s="8"/>
    </row>
    <row r="614" spans="1:12">
      <c r="A614" s="2">
        <v>1000</v>
      </c>
      <c r="B614" s="1">
        <v>45028</v>
      </c>
      <c r="C614" t="s">
        <v>1013</v>
      </c>
      <c r="D614" t="s">
        <v>10</v>
      </c>
      <c r="E614">
        <v>47</v>
      </c>
      <c r="F614" s="2" t="s">
        <v>16</v>
      </c>
      <c r="G614">
        <v>4</v>
      </c>
      <c r="H614">
        <v>30</v>
      </c>
      <c r="I614" s="8">
        <f>Table4[[#This Row],[Quantity]]*Table4[[#This Row],[Price per Unit]]</f>
        <v>120</v>
      </c>
      <c r="J614">
        <v>120</v>
      </c>
      <c r="K614" s="8" t="str">
        <f>IF(Table4[[#This Row],[Total Amount]]=Table4[[#This Row],[Calculated Total]],"Correct","Check")</f>
        <v>Correct</v>
      </c>
      <c r="L614" s="8"/>
    </row>
    <row r="615" spans="1:12">
      <c r="A615" s="2">
        <v>521</v>
      </c>
      <c r="B615" s="1">
        <v>45150</v>
      </c>
      <c r="C615" t="s">
        <v>534</v>
      </c>
      <c r="D615" t="s">
        <v>13</v>
      </c>
      <c r="E615">
        <v>47</v>
      </c>
      <c r="F615" s="2" t="s">
        <v>14</v>
      </c>
      <c r="G615">
        <v>4</v>
      </c>
      <c r="H615">
        <v>30</v>
      </c>
      <c r="I615" s="8">
        <f>Table4[[#This Row],[Quantity]]*Table4[[#This Row],[Price per Unit]]</f>
        <v>120</v>
      </c>
      <c r="J615">
        <v>120</v>
      </c>
      <c r="K615" s="8" t="str">
        <f>IF(Table4[[#This Row],[Total Amount]]=Table4[[#This Row],[Calculated Total]],"Correct","Check")</f>
        <v>Correct</v>
      </c>
      <c r="L615" s="8"/>
    </row>
    <row r="616" spans="1:12" hidden="1">
      <c r="A616" s="2">
        <v>77</v>
      </c>
      <c r="B616" s="1">
        <v>45116</v>
      </c>
      <c r="C616" t="s">
        <v>90</v>
      </c>
      <c r="D616" t="s">
        <v>13</v>
      </c>
      <c r="E616">
        <v>47</v>
      </c>
      <c r="F616" s="2" t="s">
        <v>14</v>
      </c>
      <c r="G616">
        <v>2</v>
      </c>
      <c r="H616">
        <v>50</v>
      </c>
      <c r="I616" s="8">
        <f>Table4[[#This Row],[Quantity]]*Table4[[#This Row],[Price per Unit]]</f>
        <v>100</v>
      </c>
      <c r="J616">
        <v>100</v>
      </c>
      <c r="K616" s="8" t="str">
        <f>IF(Table4[[#This Row],[Total Amount]]=Table4[[#This Row],[Calculated Total]],"Correct","Check")</f>
        <v>Correct</v>
      </c>
      <c r="L616" s="8"/>
    </row>
    <row r="617" spans="1:12">
      <c r="A617" s="2">
        <v>619</v>
      </c>
      <c r="B617" s="1">
        <v>45212</v>
      </c>
      <c r="C617" t="s">
        <v>632</v>
      </c>
      <c r="D617" t="s">
        <v>10</v>
      </c>
      <c r="E617">
        <v>47</v>
      </c>
      <c r="F617" s="2" t="s">
        <v>16</v>
      </c>
      <c r="G617">
        <v>4</v>
      </c>
      <c r="H617">
        <v>25</v>
      </c>
      <c r="I617" s="8">
        <f>Table4[[#This Row],[Quantity]]*Table4[[#This Row],[Price per Unit]]</f>
        <v>100</v>
      </c>
      <c r="J617">
        <v>100</v>
      </c>
      <c r="K617" s="8" t="str">
        <f>IF(Table4[[#This Row],[Total Amount]]=Table4[[#This Row],[Calculated Total]],"Correct","Check")</f>
        <v>Correct</v>
      </c>
      <c r="L617" s="8"/>
    </row>
    <row r="618" spans="1:12">
      <c r="A618" s="2">
        <v>778</v>
      </c>
      <c r="B618" s="1">
        <v>45248</v>
      </c>
      <c r="C618" t="s">
        <v>791</v>
      </c>
      <c r="D618" t="s">
        <v>13</v>
      </c>
      <c r="E618">
        <v>47</v>
      </c>
      <c r="F618" s="2" t="s">
        <v>11</v>
      </c>
      <c r="G618">
        <v>4</v>
      </c>
      <c r="H618">
        <v>25</v>
      </c>
      <c r="I618" s="8">
        <f>Table4[[#This Row],[Quantity]]*Table4[[#This Row],[Price per Unit]]</f>
        <v>100</v>
      </c>
      <c r="J618">
        <v>100</v>
      </c>
      <c r="K618" s="8" t="str">
        <f>IF(Table4[[#This Row],[Total Amount]]=Table4[[#This Row],[Calculated Total]],"Correct","Check")</f>
        <v>Correct</v>
      </c>
      <c r="L618" s="8"/>
    </row>
    <row r="619" spans="1:12">
      <c r="A619" s="2">
        <v>517</v>
      </c>
      <c r="B619" s="1">
        <v>45024</v>
      </c>
      <c r="C619" t="s">
        <v>530</v>
      </c>
      <c r="D619" t="s">
        <v>13</v>
      </c>
      <c r="E619">
        <v>47</v>
      </c>
      <c r="F619" s="2" t="s">
        <v>14</v>
      </c>
      <c r="G619">
        <v>4</v>
      </c>
      <c r="H619">
        <v>25</v>
      </c>
      <c r="I619" s="8">
        <f>Table4[[#This Row],[Quantity]]*Table4[[#This Row],[Price per Unit]]</f>
        <v>100</v>
      </c>
      <c r="J619">
        <v>100</v>
      </c>
      <c r="K619" s="8" t="str">
        <f>IF(Table4[[#This Row],[Total Amount]]=Table4[[#This Row],[Calculated Total]],"Correct","Check")</f>
        <v>Correct</v>
      </c>
      <c r="L619" s="8"/>
    </row>
    <row r="620" spans="1:12" hidden="1">
      <c r="A620" s="2">
        <v>609</v>
      </c>
      <c r="B620" s="1">
        <v>45279</v>
      </c>
      <c r="C620" t="s">
        <v>622</v>
      </c>
      <c r="D620" t="s">
        <v>13</v>
      </c>
      <c r="E620">
        <v>47</v>
      </c>
      <c r="F620" s="2" t="s">
        <v>14</v>
      </c>
      <c r="G620">
        <v>2</v>
      </c>
      <c r="H620">
        <v>50</v>
      </c>
      <c r="I620" s="8">
        <f>Table4[[#This Row],[Quantity]]*Table4[[#This Row],[Price per Unit]]</f>
        <v>100</v>
      </c>
      <c r="J620">
        <v>100</v>
      </c>
      <c r="K620" s="8" t="str">
        <f>IF(Table4[[#This Row],[Total Amount]]=Table4[[#This Row],[Calculated Total]],"Correct","Check")</f>
        <v>Correct</v>
      </c>
      <c r="L620" s="8"/>
    </row>
    <row r="621" spans="1:12">
      <c r="A621" s="2">
        <v>245</v>
      </c>
      <c r="B621" s="1">
        <v>45175</v>
      </c>
      <c r="C621" t="s">
        <v>258</v>
      </c>
      <c r="D621" t="s">
        <v>10</v>
      </c>
      <c r="E621">
        <v>47</v>
      </c>
      <c r="F621" s="2" t="s">
        <v>14</v>
      </c>
      <c r="G621">
        <v>3</v>
      </c>
      <c r="H621">
        <v>30</v>
      </c>
      <c r="I621" s="8">
        <f>Table4[[#This Row],[Quantity]]*Table4[[#This Row],[Price per Unit]]</f>
        <v>90</v>
      </c>
      <c r="J621">
        <v>90</v>
      </c>
      <c r="K621" s="8" t="str">
        <f>IF(Table4[[#This Row],[Total Amount]]=Table4[[#This Row],[Calculated Total]],"Correct","Check")</f>
        <v>Correct</v>
      </c>
      <c r="L621" s="8"/>
    </row>
    <row r="622" spans="1:12">
      <c r="A622" s="2">
        <v>535</v>
      </c>
      <c r="B622" s="1">
        <v>45266</v>
      </c>
      <c r="C622" t="s">
        <v>548</v>
      </c>
      <c r="D622" t="s">
        <v>10</v>
      </c>
      <c r="E622">
        <v>47</v>
      </c>
      <c r="F622" s="2" t="s">
        <v>11</v>
      </c>
      <c r="G622">
        <v>3</v>
      </c>
      <c r="H622">
        <v>30</v>
      </c>
      <c r="I622" s="8">
        <f>Table4[[#This Row],[Quantity]]*Table4[[#This Row],[Price per Unit]]</f>
        <v>90</v>
      </c>
      <c r="J622">
        <v>90</v>
      </c>
      <c r="K622" s="8" t="str">
        <f>IF(Table4[[#This Row],[Total Amount]]=Table4[[#This Row],[Calculated Total]],"Correct","Check")</f>
        <v>Correct</v>
      </c>
      <c r="L622" s="8"/>
    </row>
    <row r="623" spans="1:12" hidden="1">
      <c r="A623" s="2">
        <v>315</v>
      </c>
      <c r="B623" s="1">
        <v>45078</v>
      </c>
      <c r="C623" t="s">
        <v>328</v>
      </c>
      <c r="D623" t="s">
        <v>10</v>
      </c>
      <c r="E623">
        <v>47</v>
      </c>
      <c r="F623" s="2" t="s">
        <v>14</v>
      </c>
      <c r="G623">
        <v>2</v>
      </c>
      <c r="H623">
        <v>30</v>
      </c>
      <c r="I623" s="8">
        <f>Table4[[#This Row],[Quantity]]*Table4[[#This Row],[Price per Unit]]</f>
        <v>60</v>
      </c>
      <c r="J623">
        <v>60</v>
      </c>
      <c r="K623" s="8" t="str">
        <f>IF(Table4[[#This Row],[Total Amount]]=Table4[[#This Row],[Calculated Total]],"Correct","Check")</f>
        <v>Correct</v>
      </c>
      <c r="L623" s="8"/>
    </row>
    <row r="624" spans="1:12" hidden="1">
      <c r="A624" s="2">
        <v>18</v>
      </c>
      <c r="B624" s="1">
        <v>45046</v>
      </c>
      <c r="C624" t="s">
        <v>31</v>
      </c>
      <c r="D624" t="s">
        <v>13</v>
      </c>
      <c r="E624">
        <v>47</v>
      </c>
      <c r="F624" s="2" t="s">
        <v>16</v>
      </c>
      <c r="G624">
        <v>2</v>
      </c>
      <c r="H624">
        <v>25</v>
      </c>
      <c r="I624" s="8">
        <f>Table4[[#This Row],[Quantity]]*Table4[[#This Row],[Price per Unit]]</f>
        <v>50</v>
      </c>
      <c r="J624">
        <v>50</v>
      </c>
      <c r="K624" s="8" t="str">
        <f>IF(Table4[[#This Row],[Total Amount]]=Table4[[#This Row],[Calculated Total]],"Correct","Check")</f>
        <v>Correct</v>
      </c>
      <c r="L624" s="8"/>
    </row>
    <row r="625" spans="1:12" hidden="1">
      <c r="A625" s="2">
        <v>102</v>
      </c>
      <c r="B625" s="1">
        <v>45044</v>
      </c>
      <c r="C625" t="s">
        <v>115</v>
      </c>
      <c r="D625" t="s">
        <v>13</v>
      </c>
      <c r="E625">
        <v>47</v>
      </c>
      <c r="F625" s="2" t="s">
        <v>11</v>
      </c>
      <c r="G625">
        <v>2</v>
      </c>
      <c r="H625">
        <v>25</v>
      </c>
      <c r="I625" s="8">
        <f>Table4[[#This Row],[Quantity]]*Table4[[#This Row],[Price per Unit]]</f>
        <v>50</v>
      </c>
      <c r="J625">
        <v>50</v>
      </c>
      <c r="K625" s="8" t="str">
        <f>IF(Table4[[#This Row],[Total Amount]]=Table4[[#This Row],[Calculated Total]],"Correct","Check")</f>
        <v>Correct</v>
      </c>
      <c r="L625" s="8"/>
    </row>
    <row r="626" spans="1:12" hidden="1">
      <c r="A626" s="2">
        <v>525</v>
      </c>
      <c r="B626" s="1">
        <v>45278</v>
      </c>
      <c r="C626" t="s">
        <v>538</v>
      </c>
      <c r="D626" t="s">
        <v>13</v>
      </c>
      <c r="E626">
        <v>47</v>
      </c>
      <c r="F626" s="2" t="s">
        <v>11</v>
      </c>
      <c r="G626">
        <v>2</v>
      </c>
      <c r="H626">
        <v>25</v>
      </c>
      <c r="I626" s="8">
        <f>Table4[[#This Row],[Quantity]]*Table4[[#This Row],[Price per Unit]]</f>
        <v>50</v>
      </c>
      <c r="J626">
        <v>50</v>
      </c>
      <c r="K626" s="8" t="str">
        <f>IF(Table4[[#This Row],[Total Amount]]=Table4[[#This Row],[Calculated Total]],"Correct","Check")</f>
        <v>Correct</v>
      </c>
      <c r="L626" s="8"/>
    </row>
    <row r="627" spans="1:12" hidden="1">
      <c r="A627" s="2">
        <v>974</v>
      </c>
      <c r="B627" s="1">
        <v>45049</v>
      </c>
      <c r="C627" t="s">
        <v>987</v>
      </c>
      <c r="D627" t="s">
        <v>10</v>
      </c>
      <c r="E627">
        <v>47</v>
      </c>
      <c r="F627" s="2" t="s">
        <v>11</v>
      </c>
      <c r="G627">
        <v>1</v>
      </c>
      <c r="H627">
        <v>30</v>
      </c>
      <c r="I627" s="8">
        <f>Table4[[#This Row],[Quantity]]*Table4[[#This Row],[Price per Unit]]</f>
        <v>30</v>
      </c>
      <c r="J627">
        <v>30</v>
      </c>
      <c r="K627" s="8" t="str">
        <f>IF(Table4[[#This Row],[Total Amount]]=Table4[[#This Row],[Calculated Total]],"Correct","Check")</f>
        <v>Correct</v>
      </c>
      <c r="L627" s="8"/>
    </row>
    <row r="628" spans="1:12" hidden="1">
      <c r="A628" s="2">
        <v>379</v>
      </c>
      <c r="B628" s="1">
        <v>44962</v>
      </c>
      <c r="C628" t="s">
        <v>392</v>
      </c>
      <c r="D628" t="s">
        <v>13</v>
      </c>
      <c r="E628">
        <v>47</v>
      </c>
      <c r="F628" s="2" t="s">
        <v>14</v>
      </c>
      <c r="G628">
        <v>1</v>
      </c>
      <c r="H628">
        <v>25</v>
      </c>
      <c r="I628" s="8">
        <f>Table4[[#This Row],[Quantity]]*Table4[[#This Row],[Price per Unit]]</f>
        <v>25</v>
      </c>
      <c r="J628">
        <v>25</v>
      </c>
      <c r="K628" s="8" t="str">
        <f>IF(Table4[[#This Row],[Total Amount]]=Table4[[#This Row],[Calculated Total]],"Correct","Check")</f>
        <v>Correct</v>
      </c>
      <c r="L628" s="8"/>
    </row>
    <row r="629" spans="1:12">
      <c r="A629" s="2">
        <v>452</v>
      </c>
      <c r="B629" s="1">
        <v>45054</v>
      </c>
      <c r="C629" t="s">
        <v>465</v>
      </c>
      <c r="D629" t="s">
        <v>13</v>
      </c>
      <c r="E629">
        <v>48</v>
      </c>
      <c r="F629" s="2" t="s">
        <v>14</v>
      </c>
      <c r="G629">
        <v>3</v>
      </c>
      <c r="H629">
        <v>500</v>
      </c>
      <c r="I629" s="8">
        <f>Table4[[#This Row],[Quantity]]*Table4[[#This Row],[Price per Unit]]</f>
        <v>1500</v>
      </c>
      <c r="J629">
        <v>1500</v>
      </c>
      <c r="K629" s="8" t="str">
        <f>IF(Table4[[#This Row],[Total Amount]]=Table4[[#This Row],[Calculated Total]],"Correct","Check")</f>
        <v>Correct</v>
      </c>
      <c r="L629" s="8"/>
    </row>
    <row r="630" spans="1:12">
      <c r="A630" s="2">
        <v>67</v>
      </c>
      <c r="B630" s="1">
        <v>45075</v>
      </c>
      <c r="C630" t="s">
        <v>80</v>
      </c>
      <c r="D630" t="s">
        <v>13</v>
      </c>
      <c r="E630">
        <v>48</v>
      </c>
      <c r="F630" s="2" t="s">
        <v>11</v>
      </c>
      <c r="G630">
        <v>4</v>
      </c>
      <c r="H630">
        <v>300</v>
      </c>
      <c r="I630" s="8">
        <f>Table4[[#This Row],[Quantity]]*Table4[[#This Row],[Price per Unit]]</f>
        <v>1200</v>
      </c>
      <c r="J630">
        <v>1200</v>
      </c>
      <c r="K630" s="8" t="str">
        <f>IF(Table4[[#This Row],[Total Amount]]=Table4[[#This Row],[Calculated Total]],"Correct","Check")</f>
        <v>Correct</v>
      </c>
      <c r="L630" s="8"/>
    </row>
    <row r="631" spans="1:12" hidden="1">
      <c r="A631" s="2">
        <v>662</v>
      </c>
      <c r="B631" s="1">
        <v>45282</v>
      </c>
      <c r="C631" t="s">
        <v>675</v>
      </c>
      <c r="D631" t="s">
        <v>10</v>
      </c>
      <c r="E631">
        <v>48</v>
      </c>
      <c r="F631" s="2" t="s">
        <v>11</v>
      </c>
      <c r="G631">
        <v>2</v>
      </c>
      <c r="H631">
        <v>500</v>
      </c>
      <c r="I631" s="8">
        <f>Table4[[#This Row],[Quantity]]*Table4[[#This Row],[Price per Unit]]</f>
        <v>1000</v>
      </c>
      <c r="J631">
        <v>1000</v>
      </c>
      <c r="K631" s="8" t="str">
        <f>IF(Table4[[#This Row],[Total Amount]]=Table4[[#This Row],[Calculated Total]],"Correct","Check")</f>
        <v>Correct</v>
      </c>
      <c r="L631" s="8"/>
    </row>
    <row r="632" spans="1:12">
      <c r="A632" s="2">
        <v>968</v>
      </c>
      <c r="B632" s="1">
        <v>45247</v>
      </c>
      <c r="C632" t="s">
        <v>981</v>
      </c>
      <c r="D632" t="s">
        <v>13</v>
      </c>
      <c r="E632">
        <v>48</v>
      </c>
      <c r="F632" s="2" t="s">
        <v>14</v>
      </c>
      <c r="G632">
        <v>3</v>
      </c>
      <c r="H632">
        <v>300</v>
      </c>
      <c r="I632" s="8">
        <f>Table4[[#This Row],[Quantity]]*Table4[[#This Row],[Price per Unit]]</f>
        <v>900</v>
      </c>
      <c r="J632">
        <v>900</v>
      </c>
      <c r="K632" s="8" t="str">
        <f>IF(Table4[[#This Row],[Total Amount]]=Table4[[#This Row],[Calculated Total]],"Correct","Check")</f>
        <v>Correct</v>
      </c>
      <c r="L632" s="8"/>
    </row>
    <row r="633" spans="1:12" hidden="1">
      <c r="A633" s="2">
        <v>398</v>
      </c>
      <c r="B633" s="1">
        <v>45062</v>
      </c>
      <c r="C633" t="s">
        <v>411</v>
      </c>
      <c r="D633" t="s">
        <v>13</v>
      </c>
      <c r="E633">
        <v>48</v>
      </c>
      <c r="F633" s="2" t="s">
        <v>14</v>
      </c>
      <c r="G633">
        <v>2</v>
      </c>
      <c r="H633">
        <v>300</v>
      </c>
      <c r="I633" s="8">
        <f>Table4[[#This Row],[Quantity]]*Table4[[#This Row],[Price per Unit]]</f>
        <v>600</v>
      </c>
      <c r="J633">
        <v>600</v>
      </c>
      <c r="K633" s="8" t="str">
        <f>IF(Table4[[#This Row],[Total Amount]]=Table4[[#This Row],[Calculated Total]],"Correct","Check")</f>
        <v>Correct</v>
      </c>
      <c r="L633" s="8"/>
    </row>
    <row r="634" spans="1:12" hidden="1">
      <c r="A634" s="2">
        <v>976</v>
      </c>
      <c r="B634" s="1">
        <v>45209</v>
      </c>
      <c r="C634" t="s">
        <v>989</v>
      </c>
      <c r="D634" t="s">
        <v>13</v>
      </c>
      <c r="E634">
        <v>48</v>
      </c>
      <c r="F634" s="2" t="s">
        <v>11</v>
      </c>
      <c r="G634">
        <v>2</v>
      </c>
      <c r="H634">
        <v>300</v>
      </c>
      <c r="I634" s="8">
        <f>Table4[[#This Row],[Quantity]]*Table4[[#This Row],[Price per Unit]]</f>
        <v>600</v>
      </c>
      <c r="J634">
        <v>600</v>
      </c>
      <c r="K634" s="8" t="str">
        <f>IF(Table4[[#This Row],[Total Amount]]=Table4[[#This Row],[Calculated Total]],"Correct","Check")</f>
        <v>Correct</v>
      </c>
      <c r="L634" s="8"/>
    </row>
    <row r="635" spans="1:12" hidden="1">
      <c r="A635" s="2">
        <v>43</v>
      </c>
      <c r="B635" s="1">
        <v>45121</v>
      </c>
      <c r="C635" t="s">
        <v>56</v>
      </c>
      <c r="D635" t="s">
        <v>13</v>
      </c>
      <c r="E635">
        <v>48</v>
      </c>
      <c r="F635" s="2" t="s">
        <v>14</v>
      </c>
      <c r="G635">
        <v>1</v>
      </c>
      <c r="H635">
        <v>300</v>
      </c>
      <c r="I635" s="8">
        <f>Table4[[#This Row],[Quantity]]*Table4[[#This Row],[Price per Unit]]</f>
        <v>300</v>
      </c>
      <c r="J635">
        <v>300</v>
      </c>
      <c r="K635" s="8" t="str">
        <f>IF(Table4[[#This Row],[Total Amount]]=Table4[[#This Row],[Calculated Total]],"Correct","Check")</f>
        <v>Correct</v>
      </c>
      <c r="L635" s="8"/>
    </row>
    <row r="636" spans="1:12" hidden="1">
      <c r="A636" s="2">
        <v>741</v>
      </c>
      <c r="B636" s="1">
        <v>45260</v>
      </c>
      <c r="C636" t="s">
        <v>754</v>
      </c>
      <c r="D636" t="s">
        <v>10</v>
      </c>
      <c r="E636">
        <v>48</v>
      </c>
      <c r="F636" s="2" t="s">
        <v>14</v>
      </c>
      <c r="G636">
        <v>1</v>
      </c>
      <c r="H636">
        <v>300</v>
      </c>
      <c r="I636" s="8">
        <f>Table4[[#This Row],[Quantity]]*Table4[[#This Row],[Price per Unit]]</f>
        <v>300</v>
      </c>
      <c r="J636">
        <v>300</v>
      </c>
      <c r="K636" s="8" t="str">
        <f>IF(Table4[[#This Row],[Total Amount]]=Table4[[#This Row],[Calculated Total]],"Correct","Check")</f>
        <v>Correct</v>
      </c>
      <c r="L636" s="8"/>
    </row>
    <row r="637" spans="1:12">
      <c r="A637" s="2">
        <v>777</v>
      </c>
      <c r="B637" s="1">
        <v>45280</v>
      </c>
      <c r="C637" t="s">
        <v>790</v>
      </c>
      <c r="D637" t="s">
        <v>10</v>
      </c>
      <c r="E637">
        <v>48</v>
      </c>
      <c r="F637" s="2" t="s">
        <v>16</v>
      </c>
      <c r="G637">
        <v>3</v>
      </c>
      <c r="H637">
        <v>50</v>
      </c>
      <c r="I637" s="8">
        <f>Table4[[#This Row],[Quantity]]*Table4[[#This Row],[Price per Unit]]</f>
        <v>150</v>
      </c>
      <c r="J637">
        <v>150</v>
      </c>
      <c r="K637" s="8" t="str">
        <f>IF(Table4[[#This Row],[Total Amount]]=Table4[[#This Row],[Calculated Total]],"Correct","Check")</f>
        <v>Correct</v>
      </c>
      <c r="L637" s="8"/>
    </row>
    <row r="638" spans="1:12">
      <c r="A638" s="2">
        <v>993</v>
      </c>
      <c r="B638" s="1">
        <v>44963</v>
      </c>
      <c r="C638" t="s">
        <v>1006</v>
      </c>
      <c r="D638" t="s">
        <v>13</v>
      </c>
      <c r="E638">
        <v>48</v>
      </c>
      <c r="F638" s="2" t="s">
        <v>16</v>
      </c>
      <c r="G638">
        <v>3</v>
      </c>
      <c r="H638">
        <v>50</v>
      </c>
      <c r="I638" s="8">
        <f>Table4[[#This Row],[Quantity]]*Table4[[#This Row],[Price per Unit]]</f>
        <v>150</v>
      </c>
      <c r="J638">
        <v>150</v>
      </c>
      <c r="K638" s="8" t="str">
        <f>IF(Table4[[#This Row],[Total Amount]]=Table4[[#This Row],[Calculated Total]],"Correct","Check")</f>
        <v>Correct</v>
      </c>
      <c r="L638" s="8"/>
    </row>
    <row r="639" spans="1:12" hidden="1">
      <c r="A639" s="2">
        <v>125</v>
      </c>
      <c r="B639" s="1">
        <v>45146</v>
      </c>
      <c r="C639" t="s">
        <v>138</v>
      </c>
      <c r="D639" t="s">
        <v>10</v>
      </c>
      <c r="E639">
        <v>48</v>
      </c>
      <c r="F639" s="2" t="s">
        <v>14</v>
      </c>
      <c r="G639">
        <v>2</v>
      </c>
      <c r="H639">
        <v>50</v>
      </c>
      <c r="I639" s="8">
        <f>Table4[[#This Row],[Quantity]]*Table4[[#This Row],[Price per Unit]]</f>
        <v>100</v>
      </c>
      <c r="J639">
        <v>100</v>
      </c>
      <c r="K639" s="8" t="str">
        <f>IF(Table4[[#This Row],[Total Amount]]=Table4[[#This Row],[Calculated Total]],"Correct","Check")</f>
        <v>Correct</v>
      </c>
      <c r="L639" s="8"/>
    </row>
    <row r="640" spans="1:12">
      <c r="A640" s="2">
        <v>414</v>
      </c>
      <c r="B640" s="1">
        <v>45055</v>
      </c>
      <c r="C640" t="s">
        <v>427</v>
      </c>
      <c r="D640" t="s">
        <v>10</v>
      </c>
      <c r="E640">
        <v>48</v>
      </c>
      <c r="F640" s="2" t="s">
        <v>11</v>
      </c>
      <c r="G640">
        <v>4</v>
      </c>
      <c r="H640">
        <v>25</v>
      </c>
      <c r="I640" s="8">
        <f>Table4[[#This Row],[Quantity]]*Table4[[#This Row],[Price per Unit]]</f>
        <v>100</v>
      </c>
      <c r="J640">
        <v>100</v>
      </c>
      <c r="K640" s="8" t="str">
        <f>IF(Table4[[#This Row],[Total Amount]]=Table4[[#This Row],[Calculated Total]],"Correct","Check")</f>
        <v>Correct</v>
      </c>
      <c r="L640" s="8"/>
    </row>
    <row r="641" spans="1:12">
      <c r="A641" s="2">
        <v>786</v>
      </c>
      <c r="B641" s="1">
        <v>45216</v>
      </c>
      <c r="C641" t="s">
        <v>799</v>
      </c>
      <c r="D641" t="s">
        <v>10</v>
      </c>
      <c r="E641">
        <v>48</v>
      </c>
      <c r="F641" s="2" t="s">
        <v>14</v>
      </c>
      <c r="G641">
        <v>4</v>
      </c>
      <c r="H641">
        <v>25</v>
      </c>
      <c r="I641" s="8">
        <f>Table4[[#This Row],[Quantity]]*Table4[[#This Row],[Price per Unit]]</f>
        <v>100</v>
      </c>
      <c r="J641">
        <v>100</v>
      </c>
      <c r="K641" s="8" t="str">
        <f>IF(Table4[[#This Row],[Total Amount]]=Table4[[#This Row],[Calculated Total]],"Correct","Check")</f>
        <v>Correct</v>
      </c>
      <c r="L641" s="8"/>
    </row>
    <row r="642" spans="1:12" hidden="1">
      <c r="A642" s="2">
        <v>581</v>
      </c>
      <c r="B642" s="1">
        <v>45251</v>
      </c>
      <c r="C642" t="s">
        <v>594</v>
      </c>
      <c r="D642" t="s">
        <v>13</v>
      </c>
      <c r="E642">
        <v>48</v>
      </c>
      <c r="F642" s="2" t="s">
        <v>11</v>
      </c>
      <c r="G642">
        <v>2</v>
      </c>
      <c r="H642">
        <v>30</v>
      </c>
      <c r="I642" s="8">
        <f>Table4[[#This Row],[Quantity]]*Table4[[#This Row],[Price per Unit]]</f>
        <v>60</v>
      </c>
      <c r="J642">
        <v>60</v>
      </c>
      <c r="K642" s="8" t="str">
        <f>IF(Table4[[#This Row],[Total Amount]]=Table4[[#This Row],[Calculated Total]],"Correct","Check")</f>
        <v>Correct</v>
      </c>
      <c r="L642" s="8"/>
    </row>
    <row r="643" spans="1:12" hidden="1">
      <c r="A643" s="2">
        <v>246</v>
      </c>
      <c r="B643" s="1">
        <v>45036</v>
      </c>
      <c r="C643" t="s">
        <v>259</v>
      </c>
      <c r="D643" t="s">
        <v>13</v>
      </c>
      <c r="E643">
        <v>48</v>
      </c>
      <c r="F643" s="2" t="s">
        <v>16</v>
      </c>
      <c r="G643">
        <v>2</v>
      </c>
      <c r="H643">
        <v>25</v>
      </c>
      <c r="I643" s="8">
        <f>Table4[[#This Row],[Quantity]]*Table4[[#This Row],[Price per Unit]]</f>
        <v>50</v>
      </c>
      <c r="J643">
        <v>50</v>
      </c>
      <c r="K643" s="8" t="str">
        <f>IF(Table4[[#This Row],[Total Amount]]=Table4[[#This Row],[Calculated Total]],"Correct","Check")</f>
        <v>Correct</v>
      </c>
      <c r="L643" s="8"/>
    </row>
    <row r="644" spans="1:12" hidden="1">
      <c r="A644" s="2">
        <v>250</v>
      </c>
      <c r="B644" s="1">
        <v>45222</v>
      </c>
      <c r="C644" t="s">
        <v>263</v>
      </c>
      <c r="D644" t="s">
        <v>10</v>
      </c>
      <c r="E644">
        <v>48</v>
      </c>
      <c r="F644" s="2" t="s">
        <v>16</v>
      </c>
      <c r="G644">
        <v>1</v>
      </c>
      <c r="H644">
        <v>50</v>
      </c>
      <c r="I644" s="8">
        <f>Table4[[#This Row],[Quantity]]*Table4[[#This Row],[Price per Unit]]</f>
        <v>50</v>
      </c>
      <c r="J644">
        <v>50</v>
      </c>
      <c r="K644" s="8" t="str">
        <f>IF(Table4[[#This Row],[Total Amount]]=Table4[[#This Row],[Calculated Total]],"Correct","Check")</f>
        <v>Correct</v>
      </c>
      <c r="L644" s="8"/>
    </row>
    <row r="645" spans="1:12" hidden="1">
      <c r="A645" s="2">
        <v>316</v>
      </c>
      <c r="B645" s="1">
        <v>45038</v>
      </c>
      <c r="C645" t="s">
        <v>329</v>
      </c>
      <c r="D645" t="s">
        <v>13</v>
      </c>
      <c r="E645">
        <v>48</v>
      </c>
      <c r="F645" s="2" t="s">
        <v>14</v>
      </c>
      <c r="G645">
        <v>2</v>
      </c>
      <c r="H645">
        <v>25</v>
      </c>
      <c r="I645" s="8">
        <f>Table4[[#This Row],[Quantity]]*Table4[[#This Row],[Price per Unit]]</f>
        <v>50</v>
      </c>
      <c r="J645">
        <v>50</v>
      </c>
      <c r="K645" s="8" t="str">
        <f>IF(Table4[[#This Row],[Total Amount]]=Table4[[#This Row],[Calculated Total]],"Correct","Check")</f>
        <v>Correct</v>
      </c>
      <c r="L645" s="8"/>
    </row>
    <row r="646" spans="1:12" hidden="1">
      <c r="A646" s="2">
        <v>255</v>
      </c>
      <c r="B646" s="1">
        <v>45024</v>
      </c>
      <c r="C646" t="s">
        <v>268</v>
      </c>
      <c r="D646" t="s">
        <v>10</v>
      </c>
      <c r="E646">
        <v>48</v>
      </c>
      <c r="F646" s="2" t="s">
        <v>14</v>
      </c>
      <c r="G646">
        <v>1</v>
      </c>
      <c r="H646">
        <v>30</v>
      </c>
      <c r="I646" s="8">
        <f>Table4[[#This Row],[Quantity]]*Table4[[#This Row],[Price per Unit]]</f>
        <v>30</v>
      </c>
      <c r="J646">
        <v>30</v>
      </c>
      <c r="K646" s="8" t="str">
        <f>IF(Table4[[#This Row],[Total Amount]]=Table4[[#This Row],[Calculated Total]],"Correct","Check")</f>
        <v>Correct</v>
      </c>
      <c r="L646" s="8"/>
    </row>
    <row r="647" spans="1:12" hidden="1">
      <c r="A647" s="2">
        <v>986</v>
      </c>
      <c r="B647" s="1">
        <v>44943</v>
      </c>
      <c r="C647" t="s">
        <v>999</v>
      </c>
      <c r="D647" t="s">
        <v>13</v>
      </c>
      <c r="E647">
        <v>49</v>
      </c>
      <c r="F647" s="2" t="s">
        <v>14</v>
      </c>
      <c r="G647">
        <v>2</v>
      </c>
      <c r="H647">
        <v>500</v>
      </c>
      <c r="I647" s="8">
        <f>Table4[[#This Row],[Quantity]]*Table4[[#This Row],[Price per Unit]]</f>
        <v>1000</v>
      </c>
      <c r="J647">
        <v>1000</v>
      </c>
      <c r="K647" s="8" t="str">
        <f>IF(Table4[[#This Row],[Total Amount]]=Table4[[#This Row],[Calculated Total]],"Correct","Check")</f>
        <v>Correct</v>
      </c>
      <c r="L647" s="8"/>
    </row>
    <row r="648" spans="1:12">
      <c r="A648" s="2">
        <v>515</v>
      </c>
      <c r="B648" s="1">
        <v>45124</v>
      </c>
      <c r="C648" t="s">
        <v>528</v>
      </c>
      <c r="D648" t="s">
        <v>13</v>
      </c>
      <c r="E648">
        <v>49</v>
      </c>
      <c r="F648" s="2" t="s">
        <v>14</v>
      </c>
      <c r="G648">
        <v>3</v>
      </c>
      <c r="H648">
        <v>300</v>
      </c>
      <c r="I648" s="8">
        <f>Table4[[#This Row],[Quantity]]*Table4[[#This Row],[Price per Unit]]</f>
        <v>900</v>
      </c>
      <c r="J648">
        <v>900</v>
      </c>
      <c r="K648" s="8" t="str">
        <f>IF(Table4[[#This Row],[Total Amount]]=Table4[[#This Row],[Calculated Total]],"Correct","Check")</f>
        <v>Correct</v>
      </c>
      <c r="L648" s="8"/>
    </row>
    <row r="649" spans="1:12" hidden="1">
      <c r="A649" s="2">
        <v>543</v>
      </c>
      <c r="B649" s="1">
        <v>45133</v>
      </c>
      <c r="C649" t="s">
        <v>556</v>
      </c>
      <c r="D649" t="s">
        <v>10</v>
      </c>
      <c r="E649">
        <v>49</v>
      </c>
      <c r="F649" s="2" t="s">
        <v>11</v>
      </c>
      <c r="G649">
        <v>2</v>
      </c>
      <c r="H649">
        <v>300</v>
      </c>
      <c r="I649" s="8">
        <f>Table4[[#This Row],[Quantity]]*Table4[[#This Row],[Price per Unit]]</f>
        <v>600</v>
      </c>
      <c r="J649">
        <v>600</v>
      </c>
      <c r="K649" s="8" t="str">
        <f>IF(Table4[[#This Row],[Total Amount]]=Table4[[#This Row],[Calculated Total]],"Correct","Check")</f>
        <v>Correct</v>
      </c>
      <c r="L649" s="8"/>
    </row>
    <row r="650" spans="1:12" hidden="1">
      <c r="A650" s="2">
        <v>570</v>
      </c>
      <c r="B650" s="1">
        <v>45153</v>
      </c>
      <c r="C650" t="s">
        <v>583</v>
      </c>
      <c r="D650" t="s">
        <v>10</v>
      </c>
      <c r="E650">
        <v>49</v>
      </c>
      <c r="F650" s="2" t="s">
        <v>14</v>
      </c>
      <c r="G650">
        <v>1</v>
      </c>
      <c r="H650">
        <v>500</v>
      </c>
      <c r="I650" s="8">
        <f>Table4[[#This Row],[Quantity]]*Table4[[#This Row],[Price per Unit]]</f>
        <v>500</v>
      </c>
      <c r="J650">
        <v>500</v>
      </c>
      <c r="K650" s="8" t="str">
        <f>IF(Table4[[#This Row],[Total Amount]]=Table4[[#This Row],[Calculated Total]],"Correct","Check")</f>
        <v>Correct</v>
      </c>
      <c r="L650" s="8"/>
    </row>
    <row r="651" spans="1:12" hidden="1">
      <c r="A651" s="2">
        <v>24</v>
      </c>
      <c r="B651" s="1">
        <v>45259</v>
      </c>
      <c r="C651" t="s">
        <v>37</v>
      </c>
      <c r="D651" t="s">
        <v>13</v>
      </c>
      <c r="E651">
        <v>49</v>
      </c>
      <c r="F651" s="2" t="s">
        <v>14</v>
      </c>
      <c r="G651">
        <v>1</v>
      </c>
      <c r="H651">
        <v>300</v>
      </c>
      <c r="I651" s="8">
        <f>Table4[[#This Row],[Quantity]]*Table4[[#This Row],[Price per Unit]]</f>
        <v>300</v>
      </c>
      <c r="J651">
        <v>300</v>
      </c>
      <c r="K651" s="8" t="str">
        <f>IF(Table4[[#This Row],[Total Amount]]=Table4[[#This Row],[Calculated Total]],"Correct","Check")</f>
        <v>Correct</v>
      </c>
      <c r="L651" s="8"/>
    </row>
    <row r="652" spans="1:12" hidden="1">
      <c r="A652" s="2">
        <v>821</v>
      </c>
      <c r="B652" s="1">
        <v>44971</v>
      </c>
      <c r="C652" t="s">
        <v>834</v>
      </c>
      <c r="D652" t="s">
        <v>10</v>
      </c>
      <c r="E652">
        <v>49</v>
      </c>
      <c r="F652" s="2" t="s">
        <v>16</v>
      </c>
      <c r="G652">
        <v>1</v>
      </c>
      <c r="H652">
        <v>300</v>
      </c>
      <c r="I652" s="8">
        <f>Table4[[#This Row],[Quantity]]*Table4[[#This Row],[Price per Unit]]</f>
        <v>300</v>
      </c>
      <c r="J652">
        <v>300</v>
      </c>
      <c r="K652" s="8" t="str">
        <f>IF(Table4[[#This Row],[Total Amount]]=Table4[[#This Row],[Calculated Total]],"Correct","Check")</f>
        <v>Correct</v>
      </c>
      <c r="L652" s="8"/>
    </row>
    <row r="653" spans="1:12">
      <c r="A653" s="2">
        <v>138</v>
      </c>
      <c r="B653" s="1">
        <v>45008</v>
      </c>
      <c r="C653" t="s">
        <v>151</v>
      </c>
      <c r="D653" t="s">
        <v>10</v>
      </c>
      <c r="E653">
        <v>49</v>
      </c>
      <c r="F653" s="2" t="s">
        <v>14</v>
      </c>
      <c r="G653">
        <v>4</v>
      </c>
      <c r="H653">
        <v>50</v>
      </c>
      <c r="I653" s="8">
        <f>Table4[[#This Row],[Quantity]]*Table4[[#This Row],[Price per Unit]]</f>
        <v>200</v>
      </c>
      <c r="J653">
        <v>200</v>
      </c>
      <c r="K653" s="8" t="str">
        <f>IF(Table4[[#This Row],[Total Amount]]=Table4[[#This Row],[Calculated Total]],"Correct","Check")</f>
        <v>Correct</v>
      </c>
      <c r="L653" s="8"/>
    </row>
    <row r="654" spans="1:12">
      <c r="A654" s="2">
        <v>354</v>
      </c>
      <c r="B654" s="1">
        <v>45031</v>
      </c>
      <c r="C654" t="s">
        <v>367</v>
      </c>
      <c r="D654" t="s">
        <v>13</v>
      </c>
      <c r="E654">
        <v>49</v>
      </c>
      <c r="F654" s="2" t="s">
        <v>11</v>
      </c>
      <c r="G654">
        <v>4</v>
      </c>
      <c r="H654">
        <v>50</v>
      </c>
      <c r="I654" s="8">
        <f>Table4[[#This Row],[Quantity]]*Table4[[#This Row],[Price per Unit]]</f>
        <v>200</v>
      </c>
      <c r="J654">
        <v>200</v>
      </c>
      <c r="K654" s="8" t="str">
        <f>IF(Table4[[#This Row],[Total Amount]]=Table4[[#This Row],[Calculated Total]],"Correct","Check")</f>
        <v>Correct</v>
      </c>
      <c r="L654" s="8"/>
    </row>
    <row r="655" spans="1:12">
      <c r="A655" s="2">
        <v>820</v>
      </c>
      <c r="B655" s="1">
        <v>45052</v>
      </c>
      <c r="C655" t="s">
        <v>833</v>
      </c>
      <c r="D655" t="s">
        <v>10</v>
      </c>
      <c r="E655">
        <v>49</v>
      </c>
      <c r="F655" s="2" t="s">
        <v>16</v>
      </c>
      <c r="G655">
        <v>4</v>
      </c>
      <c r="H655">
        <v>50</v>
      </c>
      <c r="I655" s="8">
        <f>Table4[[#This Row],[Quantity]]*Table4[[#This Row],[Price per Unit]]</f>
        <v>200</v>
      </c>
      <c r="J655">
        <v>200</v>
      </c>
      <c r="K655" s="8" t="str">
        <f>IF(Table4[[#This Row],[Total Amount]]=Table4[[#This Row],[Calculated Total]],"Correct","Check")</f>
        <v>Correct</v>
      </c>
      <c r="L655" s="8"/>
    </row>
    <row r="656" spans="1:12">
      <c r="A656" s="2">
        <v>938</v>
      </c>
      <c r="B656" s="1">
        <v>45249</v>
      </c>
      <c r="C656" t="s">
        <v>951</v>
      </c>
      <c r="D656" t="s">
        <v>10</v>
      </c>
      <c r="E656">
        <v>49</v>
      </c>
      <c r="F656" s="2" t="s">
        <v>14</v>
      </c>
      <c r="G656">
        <v>4</v>
      </c>
      <c r="H656">
        <v>50</v>
      </c>
      <c r="I656" s="8">
        <f>Table4[[#This Row],[Quantity]]*Table4[[#This Row],[Price per Unit]]</f>
        <v>200</v>
      </c>
      <c r="J656">
        <v>200</v>
      </c>
      <c r="K656" s="8" t="str">
        <f>IF(Table4[[#This Row],[Total Amount]]=Table4[[#This Row],[Calculated Total]],"Correct","Check")</f>
        <v>Correct</v>
      </c>
      <c r="L656" s="8"/>
    </row>
    <row r="657" spans="1:12">
      <c r="A657" s="2">
        <v>64</v>
      </c>
      <c r="B657" s="1">
        <v>44950</v>
      </c>
      <c r="C657" t="s">
        <v>77</v>
      </c>
      <c r="D657" t="s">
        <v>10</v>
      </c>
      <c r="E657">
        <v>49</v>
      </c>
      <c r="F657" s="2" t="s">
        <v>14</v>
      </c>
      <c r="G657">
        <v>4</v>
      </c>
      <c r="H657">
        <v>25</v>
      </c>
      <c r="I657" s="8">
        <f>Table4[[#This Row],[Quantity]]*Table4[[#This Row],[Price per Unit]]</f>
        <v>100</v>
      </c>
      <c r="J657">
        <v>100</v>
      </c>
      <c r="K657" s="8" t="str">
        <f>IF(Table4[[#This Row],[Total Amount]]=Table4[[#This Row],[Calculated Total]],"Correct","Check")</f>
        <v>Correct</v>
      </c>
      <c r="L657" s="8"/>
    </row>
    <row r="658" spans="1:12">
      <c r="A658" s="2">
        <v>520</v>
      </c>
      <c r="B658" s="1">
        <v>45289</v>
      </c>
      <c r="C658" t="s">
        <v>533</v>
      </c>
      <c r="D658" t="s">
        <v>13</v>
      </c>
      <c r="E658">
        <v>49</v>
      </c>
      <c r="F658" s="2" t="s">
        <v>16</v>
      </c>
      <c r="G658">
        <v>4</v>
      </c>
      <c r="H658">
        <v>25</v>
      </c>
      <c r="I658" s="8">
        <f>Table4[[#This Row],[Quantity]]*Table4[[#This Row],[Price per Unit]]</f>
        <v>100</v>
      </c>
      <c r="J658">
        <v>100</v>
      </c>
      <c r="K658" s="8" t="str">
        <f>IF(Table4[[#This Row],[Total Amount]]=Table4[[#This Row],[Calculated Total]],"Correct","Check")</f>
        <v>Correct</v>
      </c>
      <c r="L658" s="8"/>
    </row>
    <row r="659" spans="1:12" hidden="1">
      <c r="A659" s="2">
        <v>759</v>
      </c>
      <c r="B659" s="1">
        <v>45115</v>
      </c>
      <c r="C659" t="s">
        <v>772</v>
      </c>
      <c r="D659" t="s">
        <v>10</v>
      </c>
      <c r="E659">
        <v>49</v>
      </c>
      <c r="F659" s="2" t="s">
        <v>16</v>
      </c>
      <c r="G659">
        <v>2</v>
      </c>
      <c r="H659">
        <v>50</v>
      </c>
      <c r="I659" s="8">
        <f>Table4[[#This Row],[Quantity]]*Table4[[#This Row],[Price per Unit]]</f>
        <v>100</v>
      </c>
      <c r="J659">
        <v>100</v>
      </c>
      <c r="K659" s="8" t="str">
        <f>IF(Table4[[#This Row],[Total Amount]]=Table4[[#This Row],[Calculated Total]],"Correct","Check")</f>
        <v>Correct</v>
      </c>
      <c r="L659" s="8"/>
    </row>
    <row r="660" spans="1:12">
      <c r="A660" s="2">
        <v>972</v>
      </c>
      <c r="B660" s="1">
        <v>44968</v>
      </c>
      <c r="C660" t="s">
        <v>985</v>
      </c>
      <c r="D660" t="s">
        <v>10</v>
      </c>
      <c r="E660">
        <v>49</v>
      </c>
      <c r="F660" s="2" t="s">
        <v>11</v>
      </c>
      <c r="G660">
        <v>4</v>
      </c>
      <c r="H660">
        <v>25</v>
      </c>
      <c r="I660" s="8">
        <f>Table4[[#This Row],[Quantity]]*Table4[[#This Row],[Price per Unit]]</f>
        <v>100</v>
      </c>
      <c r="J660">
        <v>100</v>
      </c>
      <c r="K660" s="8" t="str">
        <f>IF(Table4[[#This Row],[Total Amount]]=Table4[[#This Row],[Calculated Total]],"Correct","Check")</f>
        <v>Correct</v>
      </c>
      <c r="L660" s="8"/>
    </row>
    <row r="661" spans="1:12">
      <c r="A661" s="2">
        <v>552</v>
      </c>
      <c r="B661" s="1">
        <v>45273</v>
      </c>
      <c r="C661" t="s">
        <v>565</v>
      </c>
      <c r="D661" t="s">
        <v>13</v>
      </c>
      <c r="E661">
        <v>49</v>
      </c>
      <c r="F661" s="2" t="s">
        <v>16</v>
      </c>
      <c r="G661">
        <v>3</v>
      </c>
      <c r="H661">
        <v>25</v>
      </c>
      <c r="I661" s="8">
        <f>Table4[[#This Row],[Quantity]]*Table4[[#This Row],[Price per Unit]]</f>
        <v>75</v>
      </c>
      <c r="J661">
        <v>75</v>
      </c>
      <c r="K661" s="8" t="str">
        <f>IF(Table4[[#This Row],[Total Amount]]=Table4[[#This Row],[Calculated Total]],"Correct","Check")</f>
        <v>Correct</v>
      </c>
      <c r="L661" s="8"/>
    </row>
    <row r="662" spans="1:12">
      <c r="A662" s="2">
        <v>622</v>
      </c>
      <c r="B662" s="1">
        <v>45160</v>
      </c>
      <c r="C662" t="s">
        <v>635</v>
      </c>
      <c r="D662" t="s">
        <v>13</v>
      </c>
      <c r="E662">
        <v>49</v>
      </c>
      <c r="F662" s="2" t="s">
        <v>11</v>
      </c>
      <c r="G662">
        <v>3</v>
      </c>
      <c r="H662">
        <v>25</v>
      </c>
      <c r="I662" s="8">
        <f>Table4[[#This Row],[Quantity]]*Table4[[#This Row],[Price per Unit]]</f>
        <v>75</v>
      </c>
      <c r="J662">
        <v>75</v>
      </c>
      <c r="K662" s="8" t="str">
        <f>IF(Table4[[#This Row],[Total Amount]]=Table4[[#This Row],[Calculated Total]],"Correct","Check")</f>
        <v>Correct</v>
      </c>
      <c r="L662" s="8"/>
    </row>
    <row r="663" spans="1:12" hidden="1">
      <c r="A663" s="2">
        <v>573</v>
      </c>
      <c r="B663" s="1">
        <v>45188</v>
      </c>
      <c r="C663" t="s">
        <v>586</v>
      </c>
      <c r="D663" t="s">
        <v>10</v>
      </c>
      <c r="E663">
        <v>49</v>
      </c>
      <c r="F663" s="2" t="s">
        <v>11</v>
      </c>
      <c r="G663">
        <v>2</v>
      </c>
      <c r="H663">
        <v>30</v>
      </c>
      <c r="I663" s="8">
        <f>Table4[[#This Row],[Quantity]]*Table4[[#This Row],[Price per Unit]]</f>
        <v>60</v>
      </c>
      <c r="J663">
        <v>60</v>
      </c>
      <c r="K663" s="8" t="str">
        <f>IF(Table4[[#This Row],[Total Amount]]=Table4[[#This Row],[Calculated Total]],"Correct","Check")</f>
        <v>Correct</v>
      </c>
      <c r="L663" s="8"/>
    </row>
    <row r="664" spans="1:12" hidden="1">
      <c r="A664" s="2">
        <v>134</v>
      </c>
      <c r="B664" s="1">
        <v>44951</v>
      </c>
      <c r="C664" t="s">
        <v>147</v>
      </c>
      <c r="D664" t="s">
        <v>10</v>
      </c>
      <c r="E664">
        <v>49</v>
      </c>
      <c r="F664" s="2" t="s">
        <v>16</v>
      </c>
      <c r="G664">
        <v>1</v>
      </c>
      <c r="H664">
        <v>50</v>
      </c>
      <c r="I664" s="8">
        <f>Table4[[#This Row],[Quantity]]*Table4[[#This Row],[Price per Unit]]</f>
        <v>50</v>
      </c>
      <c r="J664">
        <v>50</v>
      </c>
      <c r="K664" s="8" t="str">
        <f>IF(Table4[[#This Row],[Total Amount]]=Table4[[#This Row],[Calculated Total]],"Correct","Check")</f>
        <v>Correct</v>
      </c>
      <c r="L664" s="8"/>
    </row>
    <row r="665" spans="1:12" hidden="1">
      <c r="A665" s="2">
        <v>893</v>
      </c>
      <c r="B665" s="1">
        <v>45037</v>
      </c>
      <c r="C665" t="s">
        <v>906</v>
      </c>
      <c r="D665" t="s">
        <v>10</v>
      </c>
      <c r="E665">
        <v>49</v>
      </c>
      <c r="F665" s="2" t="s">
        <v>16</v>
      </c>
      <c r="G665">
        <v>1</v>
      </c>
      <c r="H665">
        <v>50</v>
      </c>
      <c r="I665" s="8">
        <f>Table4[[#This Row],[Quantity]]*Table4[[#This Row],[Price per Unit]]</f>
        <v>50</v>
      </c>
      <c r="J665">
        <v>50</v>
      </c>
      <c r="K665" s="8" t="str">
        <f>IF(Table4[[#This Row],[Total Amount]]=Table4[[#This Row],[Calculated Total]],"Correct","Check")</f>
        <v>Correct</v>
      </c>
      <c r="L665" s="8"/>
    </row>
    <row r="666" spans="1:12">
      <c r="A666" s="2">
        <v>356</v>
      </c>
      <c r="B666" s="1">
        <v>45087</v>
      </c>
      <c r="C666" t="s">
        <v>369</v>
      </c>
      <c r="D666" t="s">
        <v>10</v>
      </c>
      <c r="E666">
        <v>50</v>
      </c>
      <c r="F666" s="2" t="s">
        <v>16</v>
      </c>
      <c r="G666">
        <v>3</v>
      </c>
      <c r="H666">
        <v>500</v>
      </c>
      <c r="I666" s="8">
        <f>Table4[[#This Row],[Quantity]]*Table4[[#This Row],[Price per Unit]]</f>
        <v>1500</v>
      </c>
      <c r="J666">
        <v>1500</v>
      </c>
      <c r="K666" s="8" t="str">
        <f>IF(Table4[[#This Row],[Total Amount]]=Table4[[#This Row],[Calculated Total]],"Correct","Check")</f>
        <v>Correct</v>
      </c>
      <c r="L666" s="8"/>
    </row>
    <row r="667" spans="1:12">
      <c r="A667" s="2">
        <v>385</v>
      </c>
      <c r="B667" s="1">
        <v>45205</v>
      </c>
      <c r="C667" t="s">
        <v>398</v>
      </c>
      <c r="D667" t="s">
        <v>10</v>
      </c>
      <c r="E667">
        <v>50</v>
      </c>
      <c r="F667" s="2" t="s">
        <v>16</v>
      </c>
      <c r="G667">
        <v>3</v>
      </c>
      <c r="H667">
        <v>500</v>
      </c>
      <c r="I667" s="8">
        <f>Table4[[#This Row],[Quantity]]*Table4[[#This Row],[Price per Unit]]</f>
        <v>1500</v>
      </c>
      <c r="J667">
        <v>1500</v>
      </c>
      <c r="K667" s="8" t="str">
        <f>IF(Table4[[#This Row],[Total Amount]]=Table4[[#This Row],[Calculated Total]],"Correct","Check")</f>
        <v>Correct</v>
      </c>
      <c r="L667" s="8"/>
    </row>
    <row r="668" spans="1:12">
      <c r="A668" s="2">
        <v>99</v>
      </c>
      <c r="B668" s="1">
        <v>45277</v>
      </c>
      <c r="C668" t="s">
        <v>112</v>
      </c>
      <c r="D668" t="s">
        <v>13</v>
      </c>
      <c r="E668">
        <v>50</v>
      </c>
      <c r="F668" s="2" t="s">
        <v>16</v>
      </c>
      <c r="G668">
        <v>4</v>
      </c>
      <c r="H668">
        <v>300</v>
      </c>
      <c r="I668" s="8">
        <f>Table4[[#This Row],[Quantity]]*Table4[[#This Row],[Price per Unit]]</f>
        <v>1200</v>
      </c>
      <c r="J668">
        <v>1200</v>
      </c>
      <c r="K668" s="8" t="str">
        <f>IF(Table4[[#This Row],[Total Amount]]=Table4[[#This Row],[Calculated Total]],"Correct","Check")</f>
        <v>Correct</v>
      </c>
      <c r="L668" s="8"/>
    </row>
    <row r="669" spans="1:12" hidden="1">
      <c r="A669" s="2">
        <v>237</v>
      </c>
      <c r="B669" s="1">
        <v>44961</v>
      </c>
      <c r="C669" t="s">
        <v>250</v>
      </c>
      <c r="D669" t="s">
        <v>13</v>
      </c>
      <c r="E669">
        <v>50</v>
      </c>
      <c r="F669" s="2" t="s">
        <v>11</v>
      </c>
      <c r="G669">
        <v>2</v>
      </c>
      <c r="H669">
        <v>500</v>
      </c>
      <c r="I669" s="8">
        <f>Table4[[#This Row],[Quantity]]*Table4[[#This Row],[Price per Unit]]</f>
        <v>1000</v>
      </c>
      <c r="J669">
        <v>1000</v>
      </c>
      <c r="K669" s="8" t="str">
        <f>IF(Table4[[#This Row],[Total Amount]]=Table4[[#This Row],[Calculated Total]],"Correct","Check")</f>
        <v>Correct</v>
      </c>
      <c r="L669" s="8"/>
    </row>
    <row r="670" spans="1:12" hidden="1">
      <c r="A670" s="2">
        <v>395</v>
      </c>
      <c r="B670" s="1">
        <v>45266</v>
      </c>
      <c r="C670" t="s">
        <v>408</v>
      </c>
      <c r="D670" t="s">
        <v>10</v>
      </c>
      <c r="E670">
        <v>50</v>
      </c>
      <c r="F670" s="2" t="s">
        <v>16</v>
      </c>
      <c r="G670">
        <v>2</v>
      </c>
      <c r="H670">
        <v>500</v>
      </c>
      <c r="I670" s="8">
        <f>Table4[[#This Row],[Quantity]]*Table4[[#This Row],[Price per Unit]]</f>
        <v>1000</v>
      </c>
      <c r="J670">
        <v>1000</v>
      </c>
      <c r="K670" s="8" t="str">
        <f>IF(Table4[[#This Row],[Total Amount]]=Table4[[#This Row],[Calculated Total]],"Correct","Check")</f>
        <v>Correct</v>
      </c>
      <c r="L670" s="8"/>
    </row>
    <row r="671" spans="1:12">
      <c r="A671" s="2">
        <v>954</v>
      </c>
      <c r="B671" s="1">
        <v>45194</v>
      </c>
      <c r="C671" t="s">
        <v>967</v>
      </c>
      <c r="D671" t="s">
        <v>13</v>
      </c>
      <c r="E671">
        <v>50</v>
      </c>
      <c r="F671" s="2" t="s">
        <v>16</v>
      </c>
      <c r="G671">
        <v>3</v>
      </c>
      <c r="H671">
        <v>300</v>
      </c>
      <c r="I671" s="8">
        <f>Table4[[#This Row],[Quantity]]*Table4[[#This Row],[Price per Unit]]</f>
        <v>900</v>
      </c>
      <c r="J671">
        <v>900</v>
      </c>
      <c r="K671" s="8" t="str">
        <f>IF(Table4[[#This Row],[Total Amount]]=Table4[[#This Row],[Calculated Total]],"Correct","Check")</f>
        <v>Correct</v>
      </c>
      <c r="L671" s="8"/>
    </row>
    <row r="672" spans="1:12" hidden="1">
      <c r="A672" s="2">
        <v>279</v>
      </c>
      <c r="B672" s="1">
        <v>45143</v>
      </c>
      <c r="C672" t="s">
        <v>292</v>
      </c>
      <c r="D672" t="s">
        <v>10</v>
      </c>
      <c r="E672">
        <v>50</v>
      </c>
      <c r="F672" s="2" t="s">
        <v>14</v>
      </c>
      <c r="G672">
        <v>1</v>
      </c>
      <c r="H672">
        <v>500</v>
      </c>
      <c r="I672" s="8">
        <f>Table4[[#This Row],[Quantity]]*Table4[[#This Row],[Price per Unit]]</f>
        <v>500</v>
      </c>
      <c r="J672">
        <v>500</v>
      </c>
      <c r="K672" s="8" t="str">
        <f>IF(Table4[[#This Row],[Total Amount]]=Table4[[#This Row],[Calculated Total]],"Correct","Check")</f>
        <v>Correct</v>
      </c>
      <c r="L672" s="8"/>
    </row>
    <row r="673" spans="1:12" hidden="1">
      <c r="A673" s="2">
        <v>21</v>
      </c>
      <c r="B673" s="1">
        <v>44940</v>
      </c>
      <c r="C673" t="s">
        <v>34</v>
      </c>
      <c r="D673" t="s">
        <v>13</v>
      </c>
      <c r="E673">
        <v>50</v>
      </c>
      <c r="F673" s="2" t="s">
        <v>11</v>
      </c>
      <c r="G673">
        <v>1</v>
      </c>
      <c r="H673">
        <v>500</v>
      </c>
      <c r="I673" s="8">
        <f>Table4[[#This Row],[Quantity]]*Table4[[#This Row],[Price per Unit]]</f>
        <v>500</v>
      </c>
      <c r="J673">
        <v>500</v>
      </c>
      <c r="K673" s="8" t="str">
        <f>IF(Table4[[#This Row],[Total Amount]]=Table4[[#This Row],[Calculated Total]],"Correct","Check")</f>
        <v>Correct</v>
      </c>
      <c r="L673" s="8"/>
    </row>
    <row r="674" spans="1:12" hidden="1">
      <c r="A674" s="2">
        <v>378</v>
      </c>
      <c r="B674" s="1">
        <v>45105</v>
      </c>
      <c r="C674" t="s">
        <v>391</v>
      </c>
      <c r="D674" t="s">
        <v>10</v>
      </c>
      <c r="E674">
        <v>50</v>
      </c>
      <c r="F674" s="2" t="s">
        <v>11</v>
      </c>
      <c r="G674">
        <v>1</v>
      </c>
      <c r="H674">
        <v>300</v>
      </c>
      <c r="I674" s="8">
        <f>Table4[[#This Row],[Quantity]]*Table4[[#This Row],[Price per Unit]]</f>
        <v>300</v>
      </c>
      <c r="J674">
        <v>300</v>
      </c>
      <c r="K674" s="8" t="str">
        <f>IF(Table4[[#This Row],[Total Amount]]=Table4[[#This Row],[Calculated Total]],"Correct","Check")</f>
        <v>Correct</v>
      </c>
      <c r="L674" s="8"/>
    </row>
    <row r="675" spans="1:12" hidden="1">
      <c r="A675" s="2">
        <v>947</v>
      </c>
      <c r="B675" s="1">
        <v>44987</v>
      </c>
      <c r="C675" t="s">
        <v>960</v>
      </c>
      <c r="D675" t="s">
        <v>10</v>
      </c>
      <c r="E675">
        <v>50</v>
      </c>
      <c r="F675" s="2" t="s">
        <v>11</v>
      </c>
      <c r="G675">
        <v>1</v>
      </c>
      <c r="H675">
        <v>300</v>
      </c>
      <c r="I675" s="8">
        <f>Table4[[#This Row],[Quantity]]*Table4[[#This Row],[Price per Unit]]</f>
        <v>300</v>
      </c>
      <c r="J675">
        <v>300</v>
      </c>
      <c r="K675" s="8" t="str">
        <f>IF(Table4[[#This Row],[Total Amount]]=Table4[[#This Row],[Calculated Total]],"Correct","Check")</f>
        <v>Correct</v>
      </c>
      <c r="L675" s="8"/>
    </row>
    <row r="676" spans="1:12">
      <c r="A676" s="2">
        <v>807</v>
      </c>
      <c r="B676" s="1">
        <v>45149</v>
      </c>
      <c r="C676" t="s">
        <v>820</v>
      </c>
      <c r="D676" t="s">
        <v>13</v>
      </c>
      <c r="E676">
        <v>50</v>
      </c>
      <c r="F676" s="2" t="s">
        <v>16</v>
      </c>
      <c r="G676">
        <v>4</v>
      </c>
      <c r="H676">
        <v>50</v>
      </c>
      <c r="I676" s="8">
        <f>Table4[[#This Row],[Quantity]]*Table4[[#This Row],[Price per Unit]]</f>
        <v>200</v>
      </c>
      <c r="J676">
        <v>200</v>
      </c>
      <c r="K676" s="8" t="str">
        <f>IF(Table4[[#This Row],[Total Amount]]=Table4[[#This Row],[Calculated Total]],"Correct","Check")</f>
        <v>Correct</v>
      </c>
      <c r="L676" s="8"/>
    </row>
    <row r="677" spans="1:12">
      <c r="A677" s="2">
        <v>696</v>
      </c>
      <c r="B677" s="1">
        <v>45175</v>
      </c>
      <c r="C677" t="s">
        <v>709</v>
      </c>
      <c r="D677" t="s">
        <v>13</v>
      </c>
      <c r="E677">
        <v>50</v>
      </c>
      <c r="F677" s="2" t="s">
        <v>14</v>
      </c>
      <c r="G677">
        <v>4</v>
      </c>
      <c r="H677">
        <v>50</v>
      </c>
      <c r="I677" s="8">
        <f>Table4[[#This Row],[Quantity]]*Table4[[#This Row],[Price per Unit]]</f>
        <v>200</v>
      </c>
      <c r="J677">
        <v>200</v>
      </c>
      <c r="K677" s="8" t="str">
        <f>IF(Table4[[#This Row],[Total Amount]]=Table4[[#This Row],[Calculated Total]],"Correct","Check")</f>
        <v>Correct</v>
      </c>
      <c r="L677" s="8"/>
    </row>
    <row r="678" spans="1:12" hidden="1">
      <c r="A678" s="2">
        <v>33</v>
      </c>
      <c r="B678" s="1">
        <v>45008</v>
      </c>
      <c r="C678" t="s">
        <v>46</v>
      </c>
      <c r="D678" t="s">
        <v>13</v>
      </c>
      <c r="E678">
        <v>50</v>
      </c>
      <c r="F678" s="2" t="s">
        <v>16</v>
      </c>
      <c r="G678">
        <v>2</v>
      </c>
      <c r="H678">
        <v>50</v>
      </c>
      <c r="I678" s="8">
        <f>Table4[[#This Row],[Quantity]]*Table4[[#This Row],[Price per Unit]]</f>
        <v>100</v>
      </c>
      <c r="J678">
        <v>100</v>
      </c>
      <c r="K678" s="8" t="str">
        <f>IF(Table4[[#This Row],[Total Amount]]=Table4[[#This Row],[Calculated Total]],"Correct","Check")</f>
        <v>Correct</v>
      </c>
      <c r="L678" s="8"/>
    </row>
    <row r="679" spans="1:12" hidden="1">
      <c r="A679" s="2">
        <v>549</v>
      </c>
      <c r="B679" s="1">
        <v>45142</v>
      </c>
      <c r="C679" t="s">
        <v>562</v>
      </c>
      <c r="D679" t="s">
        <v>13</v>
      </c>
      <c r="E679">
        <v>50</v>
      </c>
      <c r="F679" s="2" t="s">
        <v>11</v>
      </c>
      <c r="G679">
        <v>2</v>
      </c>
      <c r="H679">
        <v>50</v>
      </c>
      <c r="I679" s="8">
        <f>Table4[[#This Row],[Quantity]]*Table4[[#This Row],[Price per Unit]]</f>
        <v>100</v>
      </c>
      <c r="J679">
        <v>100</v>
      </c>
      <c r="K679" s="8" t="str">
        <f>IF(Table4[[#This Row],[Total Amount]]=Table4[[#This Row],[Calculated Total]],"Correct","Check")</f>
        <v>Correct</v>
      </c>
      <c r="L679" s="8"/>
    </row>
    <row r="680" spans="1:12" hidden="1">
      <c r="A680" s="2">
        <v>564</v>
      </c>
      <c r="B680" s="1">
        <v>45223</v>
      </c>
      <c r="C680" t="s">
        <v>577</v>
      </c>
      <c r="D680" t="s">
        <v>10</v>
      </c>
      <c r="E680">
        <v>50</v>
      </c>
      <c r="F680" s="2" t="s">
        <v>16</v>
      </c>
      <c r="G680">
        <v>2</v>
      </c>
      <c r="H680">
        <v>50</v>
      </c>
      <c r="I680" s="8">
        <f>Table4[[#This Row],[Quantity]]*Table4[[#This Row],[Price per Unit]]</f>
        <v>100</v>
      </c>
      <c r="J680">
        <v>100</v>
      </c>
      <c r="K680" s="8" t="str">
        <f>IF(Table4[[#This Row],[Total Amount]]=Table4[[#This Row],[Calculated Total]],"Correct","Check")</f>
        <v>Correct</v>
      </c>
      <c r="L680" s="8"/>
    </row>
    <row r="681" spans="1:12">
      <c r="A681" s="2">
        <v>498</v>
      </c>
      <c r="B681" s="1">
        <v>45096</v>
      </c>
      <c r="C681" t="s">
        <v>511</v>
      </c>
      <c r="D681" t="s">
        <v>13</v>
      </c>
      <c r="E681">
        <v>50</v>
      </c>
      <c r="F681" s="2" t="s">
        <v>14</v>
      </c>
      <c r="G681">
        <v>4</v>
      </c>
      <c r="H681">
        <v>25</v>
      </c>
      <c r="I681" s="8">
        <f>Table4[[#This Row],[Quantity]]*Table4[[#This Row],[Price per Unit]]</f>
        <v>100</v>
      </c>
      <c r="J681">
        <v>100</v>
      </c>
      <c r="K681" s="8" t="str">
        <f>IF(Table4[[#This Row],[Total Amount]]=Table4[[#This Row],[Calculated Total]],"Correct","Check")</f>
        <v>Correct</v>
      </c>
      <c r="L681" s="8"/>
    </row>
    <row r="682" spans="1:12">
      <c r="A682" s="2">
        <v>293</v>
      </c>
      <c r="B682" s="1">
        <v>45048</v>
      </c>
      <c r="C682" t="s">
        <v>306</v>
      </c>
      <c r="D682" t="s">
        <v>10</v>
      </c>
      <c r="E682">
        <v>50</v>
      </c>
      <c r="F682" s="2" t="s">
        <v>16</v>
      </c>
      <c r="G682">
        <v>3</v>
      </c>
      <c r="H682">
        <v>30</v>
      </c>
      <c r="I682" s="8">
        <f>Table4[[#This Row],[Quantity]]*Table4[[#This Row],[Price per Unit]]</f>
        <v>90</v>
      </c>
      <c r="J682">
        <v>90</v>
      </c>
      <c r="K682" s="8" t="str">
        <f>IF(Table4[[#This Row],[Total Amount]]=Table4[[#This Row],[Calculated Total]],"Correct","Check")</f>
        <v>Correct</v>
      </c>
      <c r="L682" s="8"/>
    </row>
    <row r="683" spans="1:12">
      <c r="A683" s="2">
        <v>439</v>
      </c>
      <c r="B683" s="1">
        <v>45116</v>
      </c>
      <c r="C683" t="s">
        <v>452</v>
      </c>
      <c r="D683" t="s">
        <v>10</v>
      </c>
      <c r="E683">
        <v>50</v>
      </c>
      <c r="F683" s="2" t="s">
        <v>14</v>
      </c>
      <c r="G683">
        <v>3</v>
      </c>
      <c r="H683">
        <v>25</v>
      </c>
      <c r="I683" s="8">
        <f>Table4[[#This Row],[Quantity]]*Table4[[#This Row],[Price per Unit]]</f>
        <v>75</v>
      </c>
      <c r="J683">
        <v>75</v>
      </c>
      <c r="K683" s="8" t="str">
        <f>IF(Table4[[#This Row],[Total Amount]]=Table4[[#This Row],[Calculated Total]],"Correct","Check")</f>
        <v>Correct</v>
      </c>
      <c r="L683" s="8"/>
    </row>
    <row r="684" spans="1:12" hidden="1">
      <c r="A684" s="2">
        <v>586</v>
      </c>
      <c r="B684" s="1">
        <v>45271</v>
      </c>
      <c r="C684" t="s">
        <v>599</v>
      </c>
      <c r="D684" t="s">
        <v>10</v>
      </c>
      <c r="E684">
        <v>50</v>
      </c>
      <c r="F684" s="2" t="s">
        <v>16</v>
      </c>
      <c r="G684">
        <v>1</v>
      </c>
      <c r="H684">
        <v>50</v>
      </c>
      <c r="I684" s="8">
        <f>Table4[[#This Row],[Quantity]]*Table4[[#This Row],[Price per Unit]]</f>
        <v>50</v>
      </c>
      <c r="J684">
        <v>50</v>
      </c>
      <c r="K684" s="8" t="str">
        <f>IF(Table4[[#This Row],[Total Amount]]=Table4[[#This Row],[Calculated Total]],"Correct","Check")</f>
        <v>Correct</v>
      </c>
      <c r="L684" s="8"/>
    </row>
    <row r="685" spans="1:12" hidden="1">
      <c r="A685" s="2">
        <v>359</v>
      </c>
      <c r="B685" s="1">
        <v>45129</v>
      </c>
      <c r="C685" t="s">
        <v>372</v>
      </c>
      <c r="D685" t="s">
        <v>10</v>
      </c>
      <c r="E685">
        <v>50</v>
      </c>
      <c r="F685" s="2" t="s">
        <v>14</v>
      </c>
      <c r="G685">
        <v>1</v>
      </c>
      <c r="H685">
        <v>50</v>
      </c>
      <c r="I685" s="8">
        <f>Table4[[#This Row],[Quantity]]*Table4[[#This Row],[Price per Unit]]</f>
        <v>50</v>
      </c>
      <c r="J685">
        <v>50</v>
      </c>
      <c r="K685" s="8" t="str">
        <f>IF(Table4[[#This Row],[Total Amount]]=Table4[[#This Row],[Calculated Total]],"Correct","Check")</f>
        <v>Correct</v>
      </c>
      <c r="L685" s="8"/>
    </row>
    <row r="686" spans="1:12" hidden="1">
      <c r="A686" s="2">
        <v>3</v>
      </c>
      <c r="B686" s="1">
        <v>44939</v>
      </c>
      <c r="C686" t="s">
        <v>15</v>
      </c>
      <c r="D686" t="s">
        <v>10</v>
      </c>
      <c r="E686">
        <v>50</v>
      </c>
      <c r="F686" s="2" t="s">
        <v>16</v>
      </c>
      <c r="G686">
        <v>1</v>
      </c>
      <c r="H686">
        <v>30</v>
      </c>
      <c r="I686" s="8">
        <f>Table4[[#This Row],[Quantity]]*Table4[[#This Row],[Price per Unit]]</f>
        <v>30</v>
      </c>
      <c r="J686">
        <v>30</v>
      </c>
      <c r="K686" s="8" t="str">
        <f>IF(Table4[[#This Row],[Total Amount]]=Table4[[#This Row],[Calculated Total]],"Correct","Check")</f>
        <v>Correct</v>
      </c>
      <c r="L686" s="8"/>
    </row>
    <row r="687" spans="1:12" hidden="1">
      <c r="A687" s="2">
        <v>388</v>
      </c>
      <c r="B687" s="1">
        <v>45240</v>
      </c>
      <c r="C687" t="s">
        <v>401</v>
      </c>
      <c r="D687" t="s">
        <v>10</v>
      </c>
      <c r="E687">
        <v>50</v>
      </c>
      <c r="F687" s="2" t="s">
        <v>16</v>
      </c>
      <c r="G687">
        <v>1</v>
      </c>
      <c r="H687">
        <v>25</v>
      </c>
      <c r="I687" s="8">
        <f>Table4[[#This Row],[Quantity]]*Table4[[#This Row],[Price per Unit]]</f>
        <v>25</v>
      </c>
      <c r="J687">
        <v>25</v>
      </c>
      <c r="K687" s="8" t="str">
        <f>IF(Table4[[#This Row],[Total Amount]]=Table4[[#This Row],[Calculated Total]],"Correct","Check")</f>
        <v>Correct</v>
      </c>
      <c r="L687" s="8"/>
    </row>
    <row r="688" spans="1:12" hidden="1">
      <c r="A688" s="2">
        <v>362</v>
      </c>
      <c r="B688" s="1">
        <v>45257</v>
      </c>
      <c r="C688" t="s">
        <v>375</v>
      </c>
      <c r="D688" t="s">
        <v>10</v>
      </c>
      <c r="E688">
        <v>50</v>
      </c>
      <c r="F688" s="2" t="s">
        <v>14</v>
      </c>
      <c r="G688">
        <v>1</v>
      </c>
      <c r="H688">
        <v>25</v>
      </c>
      <c r="I688" s="8">
        <f>Table4[[#This Row],[Quantity]]*Table4[[#This Row],[Price per Unit]]</f>
        <v>25</v>
      </c>
      <c r="J688">
        <v>25</v>
      </c>
      <c r="K688" s="8" t="str">
        <f>IF(Table4[[#This Row],[Total Amount]]=Table4[[#This Row],[Calculated Total]],"Correct","Check")</f>
        <v>Correct</v>
      </c>
      <c r="L688" s="8"/>
    </row>
    <row r="689" spans="1:12">
      <c r="A689" s="2">
        <v>65</v>
      </c>
      <c r="B689" s="1">
        <v>45265</v>
      </c>
      <c r="C689" t="s">
        <v>78</v>
      </c>
      <c r="D689" t="s">
        <v>10</v>
      </c>
      <c r="E689">
        <v>51</v>
      </c>
      <c r="F689" s="2" t="s">
        <v>16</v>
      </c>
      <c r="G689">
        <v>4</v>
      </c>
      <c r="H689">
        <v>500</v>
      </c>
      <c r="I689" s="8">
        <f>Table4[[#This Row],[Quantity]]*Table4[[#This Row],[Price per Unit]]</f>
        <v>2000</v>
      </c>
      <c r="J689">
        <v>2000</v>
      </c>
      <c r="K689" s="8" t="str">
        <f>IF(Table4[[#This Row],[Total Amount]]=Table4[[#This Row],[Calculated Total]],"Correct","Check")</f>
        <v>Correct</v>
      </c>
      <c r="L689" s="8"/>
    </row>
    <row r="690" spans="1:12">
      <c r="A690" s="2">
        <v>875</v>
      </c>
      <c r="B690" s="1">
        <v>45144</v>
      </c>
      <c r="C690" t="s">
        <v>888</v>
      </c>
      <c r="D690" t="s">
        <v>13</v>
      </c>
      <c r="E690">
        <v>51</v>
      </c>
      <c r="F690" s="2" t="s">
        <v>16</v>
      </c>
      <c r="G690">
        <v>4</v>
      </c>
      <c r="H690">
        <v>500</v>
      </c>
      <c r="I690" s="8">
        <f>Table4[[#This Row],[Quantity]]*Table4[[#This Row],[Price per Unit]]</f>
        <v>2000</v>
      </c>
      <c r="J690">
        <v>2000</v>
      </c>
      <c r="K690" s="8" t="str">
        <f>IF(Table4[[#This Row],[Total Amount]]=Table4[[#This Row],[Calculated Total]],"Correct","Check")</f>
        <v>Correct</v>
      </c>
      <c r="L690" s="8"/>
    </row>
    <row r="691" spans="1:12">
      <c r="A691" s="2">
        <v>115</v>
      </c>
      <c r="B691" s="1">
        <v>45256</v>
      </c>
      <c r="C691" t="s">
        <v>128</v>
      </c>
      <c r="D691" t="s">
        <v>10</v>
      </c>
      <c r="E691">
        <v>51</v>
      </c>
      <c r="F691" s="2" t="s">
        <v>14</v>
      </c>
      <c r="G691">
        <v>3</v>
      </c>
      <c r="H691">
        <v>500</v>
      </c>
      <c r="I691" s="8">
        <f>Table4[[#This Row],[Quantity]]*Table4[[#This Row],[Price per Unit]]</f>
        <v>1500</v>
      </c>
      <c r="J691">
        <v>1500</v>
      </c>
      <c r="K691" s="8" t="str">
        <f>IF(Table4[[#This Row],[Total Amount]]=Table4[[#This Row],[Calculated Total]],"Correct","Check")</f>
        <v>Correct</v>
      </c>
      <c r="L691" s="8"/>
    </row>
    <row r="692" spans="1:12">
      <c r="A692" s="2">
        <v>942</v>
      </c>
      <c r="B692" s="1">
        <v>45003</v>
      </c>
      <c r="C692" t="s">
        <v>955</v>
      </c>
      <c r="D692" t="s">
        <v>10</v>
      </c>
      <c r="E692">
        <v>51</v>
      </c>
      <c r="F692" s="2" t="s">
        <v>14</v>
      </c>
      <c r="G692">
        <v>3</v>
      </c>
      <c r="H692">
        <v>500</v>
      </c>
      <c r="I692" s="8">
        <f>Table4[[#This Row],[Quantity]]*Table4[[#This Row],[Price per Unit]]</f>
        <v>1500</v>
      </c>
      <c r="J692">
        <v>1500</v>
      </c>
      <c r="K692" s="8" t="str">
        <f>IF(Table4[[#This Row],[Total Amount]]=Table4[[#This Row],[Calculated Total]],"Correct","Check")</f>
        <v>Correct</v>
      </c>
      <c r="L692" s="8"/>
    </row>
    <row r="693" spans="1:12">
      <c r="A693" s="2">
        <v>611</v>
      </c>
      <c r="B693" s="1">
        <v>44981</v>
      </c>
      <c r="C693" t="s">
        <v>624</v>
      </c>
      <c r="D693" t="s">
        <v>10</v>
      </c>
      <c r="E693">
        <v>51</v>
      </c>
      <c r="F693" s="2" t="s">
        <v>11</v>
      </c>
      <c r="G693">
        <v>3</v>
      </c>
      <c r="H693">
        <v>500</v>
      </c>
      <c r="I693" s="8">
        <f>Table4[[#This Row],[Quantity]]*Table4[[#This Row],[Price per Unit]]</f>
        <v>1500</v>
      </c>
      <c r="J693">
        <v>1500</v>
      </c>
      <c r="K693" s="8" t="str">
        <f>IF(Table4[[#This Row],[Total Amount]]=Table4[[#This Row],[Calculated Total]],"Correct","Check")</f>
        <v>Correct</v>
      </c>
      <c r="L693" s="8"/>
    </row>
    <row r="694" spans="1:12" hidden="1">
      <c r="A694" s="2">
        <v>97</v>
      </c>
      <c r="B694" s="1">
        <v>45212</v>
      </c>
      <c r="C694" t="s">
        <v>110</v>
      </c>
      <c r="D694" t="s">
        <v>13</v>
      </c>
      <c r="E694">
        <v>51</v>
      </c>
      <c r="F694" s="2" t="s">
        <v>11</v>
      </c>
      <c r="G694">
        <v>2</v>
      </c>
      <c r="H694">
        <v>500</v>
      </c>
      <c r="I694" s="8">
        <f>Table4[[#This Row],[Quantity]]*Table4[[#This Row],[Price per Unit]]</f>
        <v>1000</v>
      </c>
      <c r="J694">
        <v>1000</v>
      </c>
      <c r="K694" s="8" t="str">
        <f>IF(Table4[[#This Row],[Total Amount]]=Table4[[#This Row],[Calculated Total]],"Correct","Check")</f>
        <v>Correct</v>
      </c>
      <c r="L694" s="8"/>
    </row>
    <row r="695" spans="1:12" hidden="1">
      <c r="A695" s="2">
        <v>994</v>
      </c>
      <c r="B695" s="1">
        <v>45278</v>
      </c>
      <c r="C695" t="s">
        <v>1007</v>
      </c>
      <c r="D695" t="s">
        <v>13</v>
      </c>
      <c r="E695">
        <v>51</v>
      </c>
      <c r="F695" s="2" t="s">
        <v>11</v>
      </c>
      <c r="G695">
        <v>2</v>
      </c>
      <c r="H695">
        <v>500</v>
      </c>
      <c r="I695" s="8">
        <f>Table4[[#This Row],[Quantity]]*Table4[[#This Row],[Price per Unit]]</f>
        <v>1000</v>
      </c>
      <c r="J695">
        <v>1000</v>
      </c>
      <c r="K695" s="8" t="str">
        <f>IF(Table4[[#This Row],[Total Amount]]=Table4[[#This Row],[Calculated Total]],"Correct","Check")</f>
        <v>Correct</v>
      </c>
      <c r="L695" s="8"/>
    </row>
    <row r="696" spans="1:12">
      <c r="A696" s="2">
        <v>154</v>
      </c>
      <c r="B696" s="1">
        <v>45201</v>
      </c>
      <c r="C696" t="s">
        <v>167</v>
      </c>
      <c r="D696" t="s">
        <v>10</v>
      </c>
      <c r="E696">
        <v>51</v>
      </c>
      <c r="F696" s="2" t="s">
        <v>16</v>
      </c>
      <c r="G696">
        <v>3</v>
      </c>
      <c r="H696">
        <v>300</v>
      </c>
      <c r="I696" s="8">
        <f>Table4[[#This Row],[Quantity]]*Table4[[#This Row],[Price per Unit]]</f>
        <v>900</v>
      </c>
      <c r="J696">
        <v>900</v>
      </c>
      <c r="K696" s="8" t="str">
        <f>IF(Table4[[#This Row],[Total Amount]]=Table4[[#This Row],[Calculated Total]],"Correct","Check")</f>
        <v>Correct</v>
      </c>
      <c r="L696" s="8"/>
    </row>
    <row r="697" spans="1:12">
      <c r="A697" s="2">
        <v>488</v>
      </c>
      <c r="B697" s="1">
        <v>45095</v>
      </c>
      <c r="C697" t="s">
        <v>501</v>
      </c>
      <c r="D697" t="s">
        <v>13</v>
      </c>
      <c r="E697">
        <v>51</v>
      </c>
      <c r="F697" s="2" t="s">
        <v>16</v>
      </c>
      <c r="G697">
        <v>3</v>
      </c>
      <c r="H697">
        <v>300</v>
      </c>
      <c r="I697" s="8">
        <f>Table4[[#This Row],[Quantity]]*Table4[[#This Row],[Price per Unit]]</f>
        <v>900</v>
      </c>
      <c r="J697">
        <v>900</v>
      </c>
      <c r="K697" s="8" t="str">
        <f>IF(Table4[[#This Row],[Total Amount]]=Table4[[#This Row],[Calculated Total]],"Correct","Check")</f>
        <v>Correct</v>
      </c>
      <c r="L697" s="8"/>
    </row>
    <row r="698" spans="1:12" hidden="1">
      <c r="A698" s="2">
        <v>233</v>
      </c>
      <c r="B698" s="1">
        <v>45289</v>
      </c>
      <c r="C698" t="s">
        <v>246</v>
      </c>
      <c r="D698" t="s">
        <v>13</v>
      </c>
      <c r="E698">
        <v>51</v>
      </c>
      <c r="F698" s="2" t="s">
        <v>11</v>
      </c>
      <c r="G698">
        <v>2</v>
      </c>
      <c r="H698">
        <v>300</v>
      </c>
      <c r="I698" s="8">
        <f>Table4[[#This Row],[Quantity]]*Table4[[#This Row],[Price per Unit]]</f>
        <v>600</v>
      </c>
      <c r="J698">
        <v>600</v>
      </c>
      <c r="K698" s="8" t="str">
        <f>IF(Table4[[#This Row],[Total Amount]]=Table4[[#This Row],[Calculated Total]],"Correct","Check")</f>
        <v>Correct</v>
      </c>
      <c r="L698" s="8"/>
    </row>
    <row r="699" spans="1:12" hidden="1">
      <c r="A699" s="2">
        <v>322</v>
      </c>
      <c r="B699" s="1">
        <v>44956</v>
      </c>
      <c r="C699" t="s">
        <v>335</v>
      </c>
      <c r="D699" t="s">
        <v>10</v>
      </c>
      <c r="E699">
        <v>51</v>
      </c>
      <c r="F699" s="2" t="s">
        <v>16</v>
      </c>
      <c r="G699">
        <v>1</v>
      </c>
      <c r="H699">
        <v>500</v>
      </c>
      <c r="I699" s="8">
        <f>Table4[[#This Row],[Quantity]]*Table4[[#This Row],[Price per Unit]]</f>
        <v>500</v>
      </c>
      <c r="J699">
        <v>500</v>
      </c>
      <c r="K699" s="8" t="str">
        <f>IF(Table4[[#This Row],[Total Amount]]=Table4[[#This Row],[Calculated Total]],"Correct","Check")</f>
        <v>Correct</v>
      </c>
      <c r="L699" s="8"/>
    </row>
    <row r="700" spans="1:12" hidden="1">
      <c r="A700" s="2">
        <v>864</v>
      </c>
      <c r="B700" s="1">
        <v>45134</v>
      </c>
      <c r="C700" t="s">
        <v>877</v>
      </c>
      <c r="D700" t="s">
        <v>13</v>
      </c>
      <c r="E700">
        <v>51</v>
      </c>
      <c r="F700" s="2" t="s">
        <v>16</v>
      </c>
      <c r="G700">
        <v>1</v>
      </c>
      <c r="H700">
        <v>500</v>
      </c>
      <c r="I700" s="8">
        <f>Table4[[#This Row],[Quantity]]*Table4[[#This Row],[Price per Unit]]</f>
        <v>500</v>
      </c>
      <c r="J700">
        <v>500</v>
      </c>
      <c r="K700" s="8" t="str">
        <f>IF(Table4[[#This Row],[Total Amount]]=Table4[[#This Row],[Calculated Total]],"Correct","Check")</f>
        <v>Correct</v>
      </c>
      <c r="L700" s="8"/>
    </row>
    <row r="701" spans="1:12" hidden="1">
      <c r="A701" s="2">
        <v>568</v>
      </c>
      <c r="B701" s="1">
        <v>45165</v>
      </c>
      <c r="C701" t="s">
        <v>581</v>
      </c>
      <c r="D701" t="s">
        <v>13</v>
      </c>
      <c r="E701">
        <v>51</v>
      </c>
      <c r="F701" s="2" t="s">
        <v>16</v>
      </c>
      <c r="G701">
        <v>1</v>
      </c>
      <c r="H701">
        <v>300</v>
      </c>
      <c r="I701" s="8">
        <f>Table4[[#This Row],[Quantity]]*Table4[[#This Row],[Price per Unit]]</f>
        <v>300</v>
      </c>
      <c r="J701">
        <v>300</v>
      </c>
      <c r="K701" s="8" t="str">
        <f>IF(Table4[[#This Row],[Total Amount]]=Table4[[#This Row],[Calculated Total]],"Correct","Check")</f>
        <v>Correct</v>
      </c>
      <c r="L701" s="8"/>
    </row>
    <row r="702" spans="1:12">
      <c r="A702" s="2">
        <v>903</v>
      </c>
      <c r="B702" s="1">
        <v>45043</v>
      </c>
      <c r="C702" t="s">
        <v>916</v>
      </c>
      <c r="D702" t="s">
        <v>13</v>
      </c>
      <c r="E702">
        <v>51</v>
      </c>
      <c r="F702" s="2" t="s">
        <v>11</v>
      </c>
      <c r="G702">
        <v>4</v>
      </c>
      <c r="H702">
        <v>50</v>
      </c>
      <c r="I702" s="8">
        <f>Table4[[#This Row],[Quantity]]*Table4[[#This Row],[Price per Unit]]</f>
        <v>200</v>
      </c>
      <c r="J702">
        <v>200</v>
      </c>
      <c r="K702" s="8" t="str">
        <f>IF(Table4[[#This Row],[Total Amount]]=Table4[[#This Row],[Calculated Total]],"Correct","Check")</f>
        <v>Correct</v>
      </c>
      <c r="L702" s="8"/>
    </row>
    <row r="703" spans="1:12">
      <c r="A703" s="2">
        <v>34</v>
      </c>
      <c r="B703" s="1">
        <v>45284</v>
      </c>
      <c r="C703" t="s">
        <v>47</v>
      </c>
      <c r="D703" t="s">
        <v>13</v>
      </c>
      <c r="E703">
        <v>51</v>
      </c>
      <c r="F703" s="2" t="s">
        <v>14</v>
      </c>
      <c r="G703">
        <v>3</v>
      </c>
      <c r="H703">
        <v>50</v>
      </c>
      <c r="I703" s="8">
        <f>Table4[[#This Row],[Quantity]]*Table4[[#This Row],[Price per Unit]]</f>
        <v>150</v>
      </c>
      <c r="J703">
        <v>150</v>
      </c>
      <c r="K703" s="8" t="str">
        <f>IF(Table4[[#This Row],[Total Amount]]=Table4[[#This Row],[Calculated Total]],"Correct","Check")</f>
        <v>Correct</v>
      </c>
      <c r="L703" s="8"/>
    </row>
    <row r="704" spans="1:12">
      <c r="A704" s="2">
        <v>666</v>
      </c>
      <c r="B704" s="1">
        <v>44959</v>
      </c>
      <c r="C704" t="s">
        <v>679</v>
      </c>
      <c r="D704" t="s">
        <v>10</v>
      </c>
      <c r="E704">
        <v>51</v>
      </c>
      <c r="F704" s="2" t="s">
        <v>16</v>
      </c>
      <c r="G704">
        <v>3</v>
      </c>
      <c r="H704">
        <v>50</v>
      </c>
      <c r="I704" s="8">
        <f>Table4[[#This Row],[Quantity]]*Table4[[#This Row],[Price per Unit]]</f>
        <v>150</v>
      </c>
      <c r="J704">
        <v>150</v>
      </c>
      <c r="K704" s="8" t="str">
        <f>IF(Table4[[#This Row],[Total Amount]]=Table4[[#This Row],[Calculated Total]],"Correct","Check")</f>
        <v>Correct</v>
      </c>
      <c r="L704" s="8"/>
    </row>
    <row r="705" spans="1:12">
      <c r="A705" s="2">
        <v>728</v>
      </c>
      <c r="B705" s="1">
        <v>45121</v>
      </c>
      <c r="C705" t="s">
        <v>741</v>
      </c>
      <c r="D705" t="s">
        <v>10</v>
      </c>
      <c r="E705">
        <v>51</v>
      </c>
      <c r="F705" s="2" t="s">
        <v>16</v>
      </c>
      <c r="G705">
        <v>3</v>
      </c>
      <c r="H705">
        <v>50</v>
      </c>
      <c r="I705" s="8">
        <f>Table4[[#This Row],[Quantity]]*Table4[[#This Row],[Price per Unit]]</f>
        <v>150</v>
      </c>
      <c r="J705">
        <v>150</v>
      </c>
      <c r="K705" s="8" t="str">
        <f>IF(Table4[[#This Row],[Total Amount]]=Table4[[#This Row],[Calculated Total]],"Correct","Check")</f>
        <v>Correct</v>
      </c>
      <c r="L705" s="8"/>
    </row>
    <row r="706" spans="1:12">
      <c r="A706" s="2">
        <v>912</v>
      </c>
      <c r="B706" s="1">
        <v>44950</v>
      </c>
      <c r="C706" t="s">
        <v>925</v>
      </c>
      <c r="D706" t="s">
        <v>10</v>
      </c>
      <c r="E706">
        <v>51</v>
      </c>
      <c r="F706" s="2" t="s">
        <v>11</v>
      </c>
      <c r="G706">
        <v>3</v>
      </c>
      <c r="H706">
        <v>50</v>
      </c>
      <c r="I706" s="8">
        <f>Table4[[#This Row],[Quantity]]*Table4[[#This Row],[Price per Unit]]</f>
        <v>150</v>
      </c>
      <c r="J706">
        <v>150</v>
      </c>
      <c r="K706" s="8" t="str">
        <f>IF(Table4[[#This Row],[Total Amount]]=Table4[[#This Row],[Calculated Total]],"Correct","Check")</f>
        <v>Correct</v>
      </c>
      <c r="L706" s="8"/>
    </row>
    <row r="707" spans="1:12">
      <c r="A707" s="2">
        <v>651</v>
      </c>
      <c r="B707" s="1">
        <v>45073</v>
      </c>
      <c r="C707" t="s">
        <v>664</v>
      </c>
      <c r="D707" t="s">
        <v>10</v>
      </c>
      <c r="E707">
        <v>51</v>
      </c>
      <c r="F707" s="2" t="s">
        <v>14</v>
      </c>
      <c r="G707">
        <v>3</v>
      </c>
      <c r="H707">
        <v>50</v>
      </c>
      <c r="I707" s="8">
        <f>Table4[[#This Row],[Quantity]]*Table4[[#This Row],[Price per Unit]]</f>
        <v>150</v>
      </c>
      <c r="J707">
        <v>150</v>
      </c>
      <c r="K707" s="8" t="str">
        <f>IF(Table4[[#This Row],[Total Amount]]=Table4[[#This Row],[Calculated Total]],"Correct","Check")</f>
        <v>Correct</v>
      </c>
      <c r="L707" s="8"/>
    </row>
    <row r="708" spans="1:12">
      <c r="A708" s="2">
        <v>222</v>
      </c>
      <c r="B708" s="1">
        <v>45042</v>
      </c>
      <c r="C708" t="s">
        <v>235</v>
      </c>
      <c r="D708" t="s">
        <v>10</v>
      </c>
      <c r="E708">
        <v>51</v>
      </c>
      <c r="F708" s="2" t="s">
        <v>14</v>
      </c>
      <c r="G708">
        <v>4</v>
      </c>
      <c r="H708">
        <v>30</v>
      </c>
      <c r="I708" s="8">
        <f>Table4[[#This Row],[Quantity]]*Table4[[#This Row],[Price per Unit]]</f>
        <v>120</v>
      </c>
      <c r="J708">
        <v>120</v>
      </c>
      <c r="K708" s="8" t="str">
        <f>IF(Table4[[#This Row],[Total Amount]]=Table4[[#This Row],[Calculated Total]],"Correct","Check")</f>
        <v>Correct</v>
      </c>
      <c r="L708" s="8"/>
    </row>
    <row r="709" spans="1:12">
      <c r="A709" s="2">
        <v>92</v>
      </c>
      <c r="B709" s="1">
        <v>45163</v>
      </c>
      <c r="C709" t="s">
        <v>105</v>
      </c>
      <c r="D709" t="s">
        <v>13</v>
      </c>
      <c r="E709">
        <v>51</v>
      </c>
      <c r="F709" s="2" t="s">
        <v>16</v>
      </c>
      <c r="G709">
        <v>4</v>
      </c>
      <c r="H709">
        <v>30</v>
      </c>
      <c r="I709" s="8">
        <f>Table4[[#This Row],[Quantity]]*Table4[[#This Row],[Price per Unit]]</f>
        <v>120</v>
      </c>
      <c r="J709">
        <v>120</v>
      </c>
      <c r="K709" s="8" t="str">
        <f>IF(Table4[[#This Row],[Total Amount]]=Table4[[#This Row],[Calculated Total]],"Correct","Check")</f>
        <v>Correct</v>
      </c>
      <c r="L709" s="8"/>
    </row>
    <row r="710" spans="1:12">
      <c r="A710" s="2">
        <v>640</v>
      </c>
      <c r="B710" s="1">
        <v>45053</v>
      </c>
      <c r="C710" t="s">
        <v>653</v>
      </c>
      <c r="D710" t="s">
        <v>13</v>
      </c>
      <c r="E710">
        <v>51</v>
      </c>
      <c r="F710" s="2" t="s">
        <v>16</v>
      </c>
      <c r="G710">
        <v>4</v>
      </c>
      <c r="H710">
        <v>30</v>
      </c>
      <c r="I710" s="8">
        <f>Table4[[#This Row],[Quantity]]*Table4[[#This Row],[Price per Unit]]</f>
        <v>120</v>
      </c>
      <c r="J710">
        <v>120</v>
      </c>
      <c r="K710" s="8" t="str">
        <f>IF(Table4[[#This Row],[Total Amount]]=Table4[[#This Row],[Calculated Total]],"Correct","Check")</f>
        <v>Correct</v>
      </c>
      <c r="L710" s="8"/>
    </row>
    <row r="711" spans="1:12">
      <c r="A711" s="2">
        <v>71</v>
      </c>
      <c r="B711" s="1">
        <v>45121</v>
      </c>
      <c r="C711" t="s">
        <v>84</v>
      </c>
      <c r="D711" t="s">
        <v>13</v>
      </c>
      <c r="E711">
        <v>51</v>
      </c>
      <c r="F711" s="2" t="s">
        <v>11</v>
      </c>
      <c r="G711">
        <v>4</v>
      </c>
      <c r="H711">
        <v>25</v>
      </c>
      <c r="I711" s="8">
        <f>Table4[[#This Row],[Quantity]]*Table4[[#This Row],[Price per Unit]]</f>
        <v>100</v>
      </c>
      <c r="J711">
        <v>100</v>
      </c>
      <c r="K711" s="8" t="str">
        <f>IF(Table4[[#This Row],[Total Amount]]=Table4[[#This Row],[Calculated Total]],"Correct","Check")</f>
        <v>Correct</v>
      </c>
      <c r="L711" s="8"/>
    </row>
    <row r="712" spans="1:12">
      <c r="A712" s="2">
        <v>706</v>
      </c>
      <c r="B712" s="1">
        <v>45245</v>
      </c>
      <c r="C712" t="s">
        <v>719</v>
      </c>
      <c r="D712" t="s">
        <v>10</v>
      </c>
      <c r="E712">
        <v>51</v>
      </c>
      <c r="F712" s="2" t="s">
        <v>16</v>
      </c>
      <c r="G712">
        <v>4</v>
      </c>
      <c r="H712">
        <v>25</v>
      </c>
      <c r="I712" s="8">
        <f>Table4[[#This Row],[Quantity]]*Table4[[#This Row],[Price per Unit]]</f>
        <v>100</v>
      </c>
      <c r="J712">
        <v>100</v>
      </c>
      <c r="K712" s="8" t="str">
        <f>IF(Table4[[#This Row],[Total Amount]]=Table4[[#This Row],[Calculated Total]],"Correct","Check")</f>
        <v>Correct</v>
      </c>
      <c r="L712" s="8"/>
    </row>
    <row r="713" spans="1:12">
      <c r="A713" s="2">
        <v>691</v>
      </c>
      <c r="B713" s="1">
        <v>45039</v>
      </c>
      <c r="C713" t="s">
        <v>704</v>
      </c>
      <c r="D713" t="s">
        <v>13</v>
      </c>
      <c r="E713">
        <v>51</v>
      </c>
      <c r="F713" s="2" t="s">
        <v>14</v>
      </c>
      <c r="G713">
        <v>3</v>
      </c>
      <c r="H713">
        <v>30</v>
      </c>
      <c r="I713" s="8">
        <f>Table4[[#This Row],[Quantity]]*Table4[[#This Row],[Price per Unit]]</f>
        <v>90</v>
      </c>
      <c r="J713">
        <v>90</v>
      </c>
      <c r="K713" s="8" t="str">
        <f>IF(Table4[[#This Row],[Total Amount]]=Table4[[#This Row],[Calculated Total]],"Correct","Check")</f>
        <v>Correct</v>
      </c>
      <c r="L713" s="8"/>
    </row>
    <row r="714" spans="1:12">
      <c r="A714" s="2">
        <v>921</v>
      </c>
      <c r="B714" s="1">
        <v>44933</v>
      </c>
      <c r="C714" t="s">
        <v>934</v>
      </c>
      <c r="D714" t="s">
        <v>10</v>
      </c>
      <c r="E714">
        <v>51</v>
      </c>
      <c r="F714" s="2" t="s">
        <v>16</v>
      </c>
      <c r="G714">
        <v>3</v>
      </c>
      <c r="H714">
        <v>25</v>
      </c>
      <c r="I714" s="8">
        <f>Table4[[#This Row],[Quantity]]*Table4[[#This Row],[Price per Unit]]</f>
        <v>75</v>
      </c>
      <c r="J714">
        <v>75</v>
      </c>
      <c r="K714" s="8" t="str">
        <f>IF(Table4[[#This Row],[Total Amount]]=Table4[[#This Row],[Calculated Total]],"Correct","Check")</f>
        <v>Correct</v>
      </c>
      <c r="L714" s="8"/>
    </row>
    <row r="715" spans="1:12">
      <c r="A715" s="2">
        <v>815</v>
      </c>
      <c r="B715" s="1">
        <v>45165</v>
      </c>
      <c r="C715" t="s">
        <v>828</v>
      </c>
      <c r="D715" t="s">
        <v>13</v>
      </c>
      <c r="E715">
        <v>51</v>
      </c>
      <c r="F715" s="2" t="s">
        <v>14</v>
      </c>
      <c r="G715">
        <v>3</v>
      </c>
      <c r="H715">
        <v>25</v>
      </c>
      <c r="I715" s="8">
        <f>Table4[[#This Row],[Quantity]]*Table4[[#This Row],[Price per Unit]]</f>
        <v>75</v>
      </c>
      <c r="J715">
        <v>75</v>
      </c>
      <c r="K715" s="8" t="str">
        <f>IF(Table4[[#This Row],[Total Amount]]=Table4[[#This Row],[Calculated Total]],"Correct","Check")</f>
        <v>Correct</v>
      </c>
      <c r="L715" s="8"/>
    </row>
    <row r="716" spans="1:12" hidden="1">
      <c r="A716" s="2">
        <v>548</v>
      </c>
      <c r="B716" s="1">
        <v>45025</v>
      </c>
      <c r="C716" t="s">
        <v>561</v>
      </c>
      <c r="D716" t="s">
        <v>13</v>
      </c>
      <c r="E716">
        <v>51</v>
      </c>
      <c r="F716" s="2" t="s">
        <v>14</v>
      </c>
      <c r="G716">
        <v>2</v>
      </c>
      <c r="H716">
        <v>30</v>
      </c>
      <c r="I716" s="8">
        <f>Table4[[#This Row],[Quantity]]*Table4[[#This Row],[Price per Unit]]</f>
        <v>60</v>
      </c>
      <c r="J716">
        <v>60</v>
      </c>
      <c r="K716" s="8" t="str">
        <f>IF(Table4[[#This Row],[Total Amount]]=Table4[[#This Row],[Calculated Total]],"Correct","Check")</f>
        <v>Correct</v>
      </c>
      <c r="L716" s="8"/>
    </row>
    <row r="717" spans="1:12" hidden="1">
      <c r="A717" s="2">
        <v>90</v>
      </c>
      <c r="B717" s="1">
        <v>45052</v>
      </c>
      <c r="C717" t="s">
        <v>103</v>
      </c>
      <c r="D717" t="s">
        <v>13</v>
      </c>
      <c r="E717">
        <v>51</v>
      </c>
      <c r="F717" s="2" t="s">
        <v>16</v>
      </c>
      <c r="G717">
        <v>1</v>
      </c>
      <c r="H717">
        <v>30</v>
      </c>
      <c r="I717" s="8">
        <f>Table4[[#This Row],[Quantity]]*Table4[[#This Row],[Price per Unit]]</f>
        <v>30</v>
      </c>
      <c r="J717">
        <v>30</v>
      </c>
      <c r="K717" s="8" t="str">
        <f>IF(Table4[[#This Row],[Total Amount]]=Table4[[#This Row],[Calculated Total]],"Correct","Check")</f>
        <v>Correct</v>
      </c>
      <c r="L717" s="8"/>
    </row>
    <row r="718" spans="1:12" hidden="1">
      <c r="A718" s="2">
        <v>791</v>
      </c>
      <c r="B718" s="1">
        <v>45265</v>
      </c>
      <c r="C718" t="s">
        <v>804</v>
      </c>
      <c r="D718" t="s">
        <v>13</v>
      </c>
      <c r="E718">
        <v>51</v>
      </c>
      <c r="F718" s="2" t="s">
        <v>11</v>
      </c>
      <c r="G718">
        <v>1</v>
      </c>
      <c r="H718">
        <v>25</v>
      </c>
      <c r="I718" s="8">
        <f>Table4[[#This Row],[Quantity]]*Table4[[#This Row],[Price per Unit]]</f>
        <v>25</v>
      </c>
      <c r="J718">
        <v>25</v>
      </c>
      <c r="K718" s="8" t="str">
        <f>IF(Table4[[#This Row],[Total Amount]]=Table4[[#This Row],[Calculated Total]],"Correct","Check")</f>
        <v>Correct</v>
      </c>
      <c r="L718" s="8"/>
    </row>
    <row r="719" spans="1:12">
      <c r="A719" s="2">
        <v>479</v>
      </c>
      <c r="B719" s="1">
        <v>45162</v>
      </c>
      <c r="C719" t="s">
        <v>492</v>
      </c>
      <c r="D719" t="s">
        <v>10</v>
      </c>
      <c r="E719">
        <v>52</v>
      </c>
      <c r="F719" s="2" t="s">
        <v>16</v>
      </c>
      <c r="G719">
        <v>4</v>
      </c>
      <c r="H719">
        <v>300</v>
      </c>
      <c r="I719" s="8">
        <f>Table4[[#This Row],[Quantity]]*Table4[[#This Row],[Price per Unit]]</f>
        <v>1200</v>
      </c>
      <c r="J719">
        <v>1200</v>
      </c>
      <c r="K719" s="8" t="str">
        <f>IF(Table4[[#This Row],[Total Amount]]=Table4[[#This Row],[Calculated Total]],"Correct","Check")</f>
        <v>Correct</v>
      </c>
      <c r="L719" s="8"/>
    </row>
    <row r="720" spans="1:12">
      <c r="A720" s="2">
        <v>171</v>
      </c>
      <c r="B720" s="1">
        <v>45254</v>
      </c>
      <c r="C720" t="s">
        <v>184</v>
      </c>
      <c r="D720" t="s">
        <v>13</v>
      </c>
      <c r="E720">
        <v>52</v>
      </c>
      <c r="F720" s="2" t="s">
        <v>14</v>
      </c>
      <c r="G720">
        <v>3</v>
      </c>
      <c r="H720">
        <v>300</v>
      </c>
      <c r="I720" s="8">
        <f>Table4[[#This Row],[Quantity]]*Table4[[#This Row],[Price per Unit]]</f>
        <v>900</v>
      </c>
      <c r="J720">
        <v>900</v>
      </c>
      <c r="K720" s="8" t="str">
        <f>IF(Table4[[#This Row],[Total Amount]]=Table4[[#This Row],[Calculated Total]],"Correct","Check")</f>
        <v>Correct</v>
      </c>
      <c r="L720" s="8"/>
    </row>
    <row r="721" spans="1:12">
      <c r="A721" s="2">
        <v>690</v>
      </c>
      <c r="B721" s="1">
        <v>45235</v>
      </c>
      <c r="C721" t="s">
        <v>703</v>
      </c>
      <c r="D721" t="s">
        <v>13</v>
      </c>
      <c r="E721">
        <v>52</v>
      </c>
      <c r="F721" s="2" t="s">
        <v>14</v>
      </c>
      <c r="G721">
        <v>3</v>
      </c>
      <c r="H721">
        <v>300</v>
      </c>
      <c r="I721" s="8">
        <f>Table4[[#This Row],[Quantity]]*Table4[[#This Row],[Price per Unit]]</f>
        <v>900</v>
      </c>
      <c r="J721">
        <v>900</v>
      </c>
      <c r="K721" s="8" t="str">
        <f>IF(Table4[[#This Row],[Total Amount]]=Table4[[#This Row],[Calculated Total]],"Correct","Check")</f>
        <v>Correct</v>
      </c>
      <c r="L721" s="8"/>
    </row>
    <row r="722" spans="1:12">
      <c r="A722" s="2">
        <v>36</v>
      </c>
      <c r="B722" s="1">
        <v>45101</v>
      </c>
      <c r="C722" t="s">
        <v>49</v>
      </c>
      <c r="D722" t="s">
        <v>10</v>
      </c>
      <c r="E722">
        <v>52</v>
      </c>
      <c r="F722" s="2" t="s">
        <v>11</v>
      </c>
      <c r="G722">
        <v>3</v>
      </c>
      <c r="H722">
        <v>300</v>
      </c>
      <c r="I722" s="8">
        <f>Table4[[#This Row],[Quantity]]*Table4[[#This Row],[Price per Unit]]</f>
        <v>900</v>
      </c>
      <c r="J722">
        <v>900</v>
      </c>
      <c r="K722" s="8" t="str">
        <f>IF(Table4[[#This Row],[Total Amount]]=Table4[[#This Row],[Calculated Total]],"Correct","Check")</f>
        <v>Correct</v>
      </c>
      <c r="L722" s="8"/>
    </row>
    <row r="723" spans="1:12">
      <c r="A723" s="2">
        <v>788</v>
      </c>
      <c r="B723" s="1">
        <v>45104</v>
      </c>
      <c r="C723" t="s">
        <v>801</v>
      </c>
      <c r="D723" t="s">
        <v>13</v>
      </c>
      <c r="E723">
        <v>52</v>
      </c>
      <c r="F723" s="2" t="s">
        <v>11</v>
      </c>
      <c r="G723">
        <v>3</v>
      </c>
      <c r="H723">
        <v>300</v>
      </c>
      <c r="I723" s="8">
        <f>Table4[[#This Row],[Quantity]]*Table4[[#This Row],[Price per Unit]]</f>
        <v>900</v>
      </c>
      <c r="J723">
        <v>900</v>
      </c>
      <c r="K723" s="8" t="str">
        <f>IF(Table4[[#This Row],[Total Amount]]=Table4[[#This Row],[Calculated Total]],"Correct","Check")</f>
        <v>Correct</v>
      </c>
      <c r="L723" s="8"/>
    </row>
    <row r="724" spans="1:12" hidden="1">
      <c r="A724" s="2">
        <v>721</v>
      </c>
      <c r="B724" s="1">
        <v>45060</v>
      </c>
      <c r="C724" t="s">
        <v>734</v>
      </c>
      <c r="D724" t="s">
        <v>13</v>
      </c>
      <c r="E724">
        <v>52</v>
      </c>
      <c r="F724" s="2" t="s">
        <v>14</v>
      </c>
      <c r="G724">
        <v>1</v>
      </c>
      <c r="H724">
        <v>500</v>
      </c>
      <c r="I724" s="8">
        <f>Table4[[#This Row],[Quantity]]*Table4[[#This Row],[Price per Unit]]</f>
        <v>500</v>
      </c>
      <c r="J724">
        <v>500</v>
      </c>
      <c r="K724" s="8" t="str">
        <f>IF(Table4[[#This Row],[Total Amount]]=Table4[[#This Row],[Calculated Total]],"Correct","Check")</f>
        <v>Correct</v>
      </c>
      <c r="L724" s="8"/>
    </row>
    <row r="725" spans="1:12">
      <c r="A725" s="2">
        <v>10</v>
      </c>
      <c r="B725" s="1">
        <v>45206</v>
      </c>
      <c r="C725" t="s">
        <v>23</v>
      </c>
      <c r="D725" t="s">
        <v>13</v>
      </c>
      <c r="E725">
        <v>52</v>
      </c>
      <c r="F725" s="2" t="s">
        <v>14</v>
      </c>
      <c r="G725">
        <v>4</v>
      </c>
      <c r="H725">
        <v>50</v>
      </c>
      <c r="I725" s="8">
        <f>Table4[[#This Row],[Quantity]]*Table4[[#This Row],[Price per Unit]]</f>
        <v>200</v>
      </c>
      <c r="J725">
        <v>200</v>
      </c>
      <c r="K725" s="8" t="str">
        <f>IF(Table4[[#This Row],[Total Amount]]=Table4[[#This Row],[Calculated Total]],"Correct","Check")</f>
        <v>Correct</v>
      </c>
      <c r="L725" s="8"/>
    </row>
    <row r="726" spans="1:12">
      <c r="A726" s="2">
        <v>569</v>
      </c>
      <c r="B726" s="1">
        <v>45153</v>
      </c>
      <c r="C726" t="s">
        <v>582</v>
      </c>
      <c r="D726" t="s">
        <v>10</v>
      </c>
      <c r="E726">
        <v>52</v>
      </c>
      <c r="F726" s="2" t="s">
        <v>16</v>
      </c>
      <c r="G726">
        <v>4</v>
      </c>
      <c r="H726">
        <v>50</v>
      </c>
      <c r="I726" s="8">
        <f>Table4[[#This Row],[Quantity]]*Table4[[#This Row],[Price per Unit]]</f>
        <v>200</v>
      </c>
      <c r="J726">
        <v>200</v>
      </c>
      <c r="K726" s="8" t="str">
        <f>IF(Table4[[#This Row],[Total Amount]]=Table4[[#This Row],[Calculated Total]],"Correct","Check")</f>
        <v>Correct</v>
      </c>
      <c r="L726" s="8"/>
    </row>
    <row r="727" spans="1:12">
      <c r="A727" s="2">
        <v>324</v>
      </c>
      <c r="B727" s="1">
        <v>45226</v>
      </c>
      <c r="C727" t="s">
        <v>337</v>
      </c>
      <c r="D727" t="s">
        <v>13</v>
      </c>
      <c r="E727">
        <v>52</v>
      </c>
      <c r="F727" s="2" t="s">
        <v>16</v>
      </c>
      <c r="G727">
        <v>3</v>
      </c>
      <c r="H727">
        <v>50</v>
      </c>
      <c r="I727" s="8">
        <f>Table4[[#This Row],[Quantity]]*Table4[[#This Row],[Price per Unit]]</f>
        <v>150</v>
      </c>
      <c r="J727">
        <v>150</v>
      </c>
      <c r="K727" s="8" t="str">
        <f>IF(Table4[[#This Row],[Total Amount]]=Table4[[#This Row],[Calculated Total]],"Correct","Check")</f>
        <v>Correct</v>
      </c>
      <c r="L727" s="8"/>
    </row>
    <row r="728" spans="1:12">
      <c r="A728" s="2">
        <v>336</v>
      </c>
      <c r="B728" s="1">
        <v>45272</v>
      </c>
      <c r="C728" t="s">
        <v>349</v>
      </c>
      <c r="D728" t="s">
        <v>13</v>
      </c>
      <c r="E728">
        <v>52</v>
      </c>
      <c r="F728" s="2" t="s">
        <v>11</v>
      </c>
      <c r="G728">
        <v>3</v>
      </c>
      <c r="H728">
        <v>50</v>
      </c>
      <c r="I728" s="8">
        <f>Table4[[#This Row],[Quantity]]*Table4[[#This Row],[Price per Unit]]</f>
        <v>150</v>
      </c>
      <c r="J728">
        <v>150</v>
      </c>
      <c r="K728" s="8" t="str">
        <f>IF(Table4[[#This Row],[Total Amount]]=Table4[[#This Row],[Calculated Total]],"Correct","Check")</f>
        <v>Correct</v>
      </c>
      <c r="L728" s="8"/>
    </row>
    <row r="729" spans="1:12">
      <c r="A729" s="2">
        <v>813</v>
      </c>
      <c r="B729" s="1">
        <v>45202</v>
      </c>
      <c r="C729" t="s">
        <v>826</v>
      </c>
      <c r="D729" t="s">
        <v>10</v>
      </c>
      <c r="E729">
        <v>52</v>
      </c>
      <c r="F729" s="2" t="s">
        <v>16</v>
      </c>
      <c r="G729">
        <v>3</v>
      </c>
      <c r="H729">
        <v>50</v>
      </c>
      <c r="I729" s="8">
        <f>Table4[[#This Row],[Quantity]]*Table4[[#This Row],[Price per Unit]]</f>
        <v>150</v>
      </c>
      <c r="J729">
        <v>150</v>
      </c>
      <c r="K729" s="8" t="str">
        <f>IF(Table4[[#This Row],[Total Amount]]=Table4[[#This Row],[Calculated Total]],"Correct","Check")</f>
        <v>Correct</v>
      </c>
      <c r="L729" s="8"/>
    </row>
    <row r="730" spans="1:12">
      <c r="A730" s="2">
        <v>822</v>
      </c>
      <c r="B730" s="1">
        <v>45069</v>
      </c>
      <c r="C730" t="s">
        <v>835</v>
      </c>
      <c r="D730" t="s">
        <v>13</v>
      </c>
      <c r="E730">
        <v>52</v>
      </c>
      <c r="F730" s="2" t="s">
        <v>11</v>
      </c>
      <c r="G730">
        <v>3</v>
      </c>
      <c r="H730">
        <v>50</v>
      </c>
      <c r="I730" s="8">
        <f>Table4[[#This Row],[Quantity]]*Table4[[#This Row],[Price per Unit]]</f>
        <v>150</v>
      </c>
      <c r="J730">
        <v>150</v>
      </c>
      <c r="K730" s="8" t="str">
        <f>IF(Table4[[#This Row],[Total Amount]]=Table4[[#This Row],[Calculated Total]],"Correct","Check")</f>
        <v>Correct</v>
      </c>
      <c r="L730" s="8"/>
    </row>
    <row r="731" spans="1:12">
      <c r="A731" s="2">
        <v>314</v>
      </c>
      <c r="B731" s="1">
        <v>45024</v>
      </c>
      <c r="C731" t="s">
        <v>327</v>
      </c>
      <c r="D731" t="s">
        <v>10</v>
      </c>
      <c r="E731">
        <v>52</v>
      </c>
      <c r="F731" s="2" t="s">
        <v>14</v>
      </c>
      <c r="G731">
        <v>4</v>
      </c>
      <c r="H731">
        <v>30</v>
      </c>
      <c r="I731" s="8">
        <f>Table4[[#This Row],[Quantity]]*Table4[[#This Row],[Price per Unit]]</f>
        <v>120</v>
      </c>
      <c r="J731">
        <v>120</v>
      </c>
      <c r="K731" s="8" t="str">
        <f>IF(Table4[[#This Row],[Total Amount]]=Table4[[#This Row],[Calculated Total]],"Correct","Check")</f>
        <v>Correct</v>
      </c>
      <c r="L731" s="8"/>
    </row>
    <row r="732" spans="1:12">
      <c r="A732" s="2">
        <v>885</v>
      </c>
      <c r="B732" s="1">
        <v>44988</v>
      </c>
      <c r="C732" t="s">
        <v>898</v>
      </c>
      <c r="D732" t="s">
        <v>13</v>
      </c>
      <c r="E732">
        <v>52</v>
      </c>
      <c r="F732" s="2" t="s">
        <v>14</v>
      </c>
      <c r="G732">
        <v>4</v>
      </c>
      <c r="H732">
        <v>30</v>
      </c>
      <c r="I732" s="8">
        <f>Table4[[#This Row],[Quantity]]*Table4[[#This Row],[Price per Unit]]</f>
        <v>120</v>
      </c>
      <c r="J732">
        <v>120</v>
      </c>
      <c r="K732" s="8" t="str">
        <f>IF(Table4[[#This Row],[Total Amount]]=Table4[[#This Row],[Calculated Total]],"Correct","Check")</f>
        <v>Correct</v>
      </c>
      <c r="L732" s="8"/>
    </row>
    <row r="733" spans="1:12">
      <c r="A733" s="2">
        <v>888</v>
      </c>
      <c r="B733" s="1">
        <v>44988</v>
      </c>
      <c r="C733" t="s">
        <v>901</v>
      </c>
      <c r="D733" t="s">
        <v>13</v>
      </c>
      <c r="E733">
        <v>52</v>
      </c>
      <c r="F733" s="2" t="s">
        <v>16</v>
      </c>
      <c r="G733">
        <v>4</v>
      </c>
      <c r="H733">
        <v>25</v>
      </c>
      <c r="I733" s="8">
        <f>Table4[[#This Row],[Quantity]]*Table4[[#This Row],[Price per Unit]]</f>
        <v>100</v>
      </c>
      <c r="J733">
        <v>100</v>
      </c>
      <c r="K733" s="8" t="str">
        <f>IF(Table4[[#This Row],[Total Amount]]=Table4[[#This Row],[Calculated Total]],"Correct","Check")</f>
        <v>Correct</v>
      </c>
      <c r="L733" s="8"/>
    </row>
    <row r="734" spans="1:12">
      <c r="A734" s="2">
        <v>997</v>
      </c>
      <c r="B734" s="1">
        <v>45247</v>
      </c>
      <c r="C734" t="s">
        <v>1010</v>
      </c>
      <c r="D734" t="s">
        <v>10</v>
      </c>
      <c r="E734">
        <v>52</v>
      </c>
      <c r="F734" s="2" t="s">
        <v>11</v>
      </c>
      <c r="G734">
        <v>3</v>
      </c>
      <c r="H734">
        <v>30</v>
      </c>
      <c r="I734" s="8">
        <f>Table4[[#This Row],[Quantity]]*Table4[[#This Row],[Price per Unit]]</f>
        <v>90</v>
      </c>
      <c r="J734">
        <v>90</v>
      </c>
      <c r="K734" s="8" t="str">
        <f>IF(Table4[[#This Row],[Total Amount]]=Table4[[#This Row],[Calculated Total]],"Correct","Check")</f>
        <v>Correct</v>
      </c>
      <c r="L734" s="8"/>
    </row>
    <row r="735" spans="1:12">
      <c r="A735" s="2">
        <v>613</v>
      </c>
      <c r="B735" s="1">
        <v>45039</v>
      </c>
      <c r="C735" t="s">
        <v>626</v>
      </c>
      <c r="D735" t="s">
        <v>13</v>
      </c>
      <c r="E735">
        <v>52</v>
      </c>
      <c r="F735" s="2" t="s">
        <v>14</v>
      </c>
      <c r="G735">
        <v>3</v>
      </c>
      <c r="H735">
        <v>30</v>
      </c>
      <c r="I735" s="8">
        <f>Table4[[#This Row],[Quantity]]*Table4[[#This Row],[Price per Unit]]</f>
        <v>90</v>
      </c>
      <c r="J735">
        <v>90</v>
      </c>
      <c r="K735" s="8" t="str">
        <f>IF(Table4[[#This Row],[Total Amount]]=Table4[[#This Row],[Calculated Total]],"Correct","Check")</f>
        <v>Correct</v>
      </c>
      <c r="L735" s="8"/>
    </row>
    <row r="736" spans="1:12" hidden="1">
      <c r="A736" s="2">
        <v>701</v>
      </c>
      <c r="B736" s="1">
        <v>45274</v>
      </c>
      <c r="C736" t="s">
        <v>714</v>
      </c>
      <c r="D736" t="s">
        <v>13</v>
      </c>
      <c r="E736">
        <v>52</v>
      </c>
      <c r="F736" s="2" t="s">
        <v>11</v>
      </c>
      <c r="G736">
        <v>2</v>
      </c>
      <c r="H736">
        <v>30</v>
      </c>
      <c r="I736" s="8">
        <f>Table4[[#This Row],[Quantity]]*Table4[[#This Row],[Price per Unit]]</f>
        <v>60</v>
      </c>
      <c r="J736">
        <v>60</v>
      </c>
      <c r="K736" s="8" t="str">
        <f>IF(Table4[[#This Row],[Total Amount]]=Table4[[#This Row],[Calculated Total]],"Correct","Check")</f>
        <v>Correct</v>
      </c>
      <c r="L736" s="8"/>
    </row>
    <row r="737" spans="1:12" hidden="1">
      <c r="A737" s="2">
        <v>325</v>
      </c>
      <c r="B737" s="1">
        <v>45171</v>
      </c>
      <c r="C737" t="s">
        <v>338</v>
      </c>
      <c r="D737" t="s">
        <v>13</v>
      </c>
      <c r="E737">
        <v>52</v>
      </c>
      <c r="F737" s="2" t="s">
        <v>16</v>
      </c>
      <c r="G737">
        <v>2</v>
      </c>
      <c r="H737">
        <v>25</v>
      </c>
      <c r="I737" s="8">
        <f>Table4[[#This Row],[Quantity]]*Table4[[#This Row],[Price per Unit]]</f>
        <v>50</v>
      </c>
      <c r="J737">
        <v>50</v>
      </c>
      <c r="K737" s="8" t="str">
        <f>IF(Table4[[#This Row],[Total Amount]]=Table4[[#This Row],[Calculated Total]],"Correct","Check")</f>
        <v>Correct</v>
      </c>
      <c r="L737" s="8"/>
    </row>
    <row r="738" spans="1:12" hidden="1">
      <c r="A738" s="2">
        <v>780</v>
      </c>
      <c r="B738" s="1">
        <v>44979</v>
      </c>
      <c r="C738" t="s">
        <v>793</v>
      </c>
      <c r="D738" t="s">
        <v>10</v>
      </c>
      <c r="E738">
        <v>52</v>
      </c>
      <c r="F738" s="2" t="s">
        <v>16</v>
      </c>
      <c r="G738">
        <v>2</v>
      </c>
      <c r="H738">
        <v>25</v>
      </c>
      <c r="I738" s="8">
        <f>Table4[[#This Row],[Quantity]]*Table4[[#This Row],[Price per Unit]]</f>
        <v>50</v>
      </c>
      <c r="J738">
        <v>50</v>
      </c>
      <c r="K738" s="8" t="str">
        <f>IF(Table4[[#This Row],[Total Amount]]=Table4[[#This Row],[Calculated Total]],"Correct","Check")</f>
        <v>Correct</v>
      </c>
      <c r="L738" s="8"/>
    </row>
    <row r="739" spans="1:12" hidden="1">
      <c r="A739" s="2">
        <v>894</v>
      </c>
      <c r="B739" s="1">
        <v>45174</v>
      </c>
      <c r="C739" t="s">
        <v>907</v>
      </c>
      <c r="D739" t="s">
        <v>10</v>
      </c>
      <c r="E739">
        <v>52</v>
      </c>
      <c r="F739" s="2" t="s">
        <v>16</v>
      </c>
      <c r="G739">
        <v>1</v>
      </c>
      <c r="H739">
        <v>30</v>
      </c>
      <c r="I739" s="8">
        <f>Table4[[#This Row],[Quantity]]*Table4[[#This Row],[Price per Unit]]</f>
        <v>30</v>
      </c>
      <c r="J739">
        <v>30</v>
      </c>
      <c r="K739" s="8" t="str">
        <f>IF(Table4[[#This Row],[Total Amount]]=Table4[[#This Row],[Calculated Total]],"Correct","Check")</f>
        <v>Correct</v>
      </c>
      <c r="L739" s="8"/>
    </row>
    <row r="740" spans="1:12" hidden="1">
      <c r="A740" s="2">
        <v>195</v>
      </c>
      <c r="B740" s="1">
        <v>44962</v>
      </c>
      <c r="C740" t="s">
        <v>208</v>
      </c>
      <c r="D740" t="s">
        <v>10</v>
      </c>
      <c r="E740">
        <v>52</v>
      </c>
      <c r="F740" s="2" t="s">
        <v>14</v>
      </c>
      <c r="G740">
        <v>1</v>
      </c>
      <c r="H740">
        <v>30</v>
      </c>
      <c r="I740" s="8">
        <f>Table4[[#This Row],[Quantity]]*Table4[[#This Row],[Price per Unit]]</f>
        <v>30</v>
      </c>
      <c r="J740">
        <v>30</v>
      </c>
      <c r="K740" s="8" t="str">
        <f>IF(Table4[[#This Row],[Total Amount]]=Table4[[#This Row],[Calculated Total]],"Correct","Check")</f>
        <v>Correct</v>
      </c>
      <c r="L740" s="8"/>
    </row>
    <row r="741" spans="1:12">
      <c r="A741" s="2">
        <v>253</v>
      </c>
      <c r="B741" s="1">
        <v>45169</v>
      </c>
      <c r="C741" t="s">
        <v>266</v>
      </c>
      <c r="D741" t="s">
        <v>13</v>
      </c>
      <c r="E741">
        <v>53</v>
      </c>
      <c r="F741" s="2" t="s">
        <v>14</v>
      </c>
      <c r="G741">
        <v>4</v>
      </c>
      <c r="H741">
        <v>500</v>
      </c>
      <c r="I741" s="8">
        <f>Table4[[#This Row],[Quantity]]*Table4[[#This Row],[Price per Unit]]</f>
        <v>2000</v>
      </c>
      <c r="J741">
        <v>2000</v>
      </c>
      <c r="K741" s="8" t="str">
        <f>IF(Table4[[#This Row],[Total Amount]]=Table4[[#This Row],[Calculated Total]],"Correct","Check")</f>
        <v>Correct</v>
      </c>
      <c r="L741" s="8"/>
    </row>
    <row r="742" spans="1:12">
      <c r="A742" s="2">
        <v>416</v>
      </c>
      <c r="B742" s="1">
        <v>44974</v>
      </c>
      <c r="C742" t="s">
        <v>429</v>
      </c>
      <c r="D742" t="s">
        <v>10</v>
      </c>
      <c r="E742">
        <v>53</v>
      </c>
      <c r="F742" s="2" t="s">
        <v>16</v>
      </c>
      <c r="G742">
        <v>4</v>
      </c>
      <c r="H742">
        <v>500</v>
      </c>
      <c r="I742" s="8">
        <f>Table4[[#This Row],[Quantity]]*Table4[[#This Row],[Price per Unit]]</f>
        <v>2000</v>
      </c>
      <c r="J742">
        <v>2000</v>
      </c>
      <c r="K742" s="8" t="str">
        <f>IF(Table4[[#This Row],[Total Amount]]=Table4[[#This Row],[Calculated Total]],"Correct","Check")</f>
        <v>Correct</v>
      </c>
      <c r="L742" s="8"/>
    </row>
    <row r="743" spans="1:12">
      <c r="A743" s="2">
        <v>648</v>
      </c>
      <c r="B743" s="1">
        <v>45152</v>
      </c>
      <c r="C743" t="s">
        <v>661</v>
      </c>
      <c r="D743" t="s">
        <v>10</v>
      </c>
      <c r="E743">
        <v>53</v>
      </c>
      <c r="F743" s="2" t="s">
        <v>11</v>
      </c>
      <c r="G743">
        <v>4</v>
      </c>
      <c r="H743">
        <v>300</v>
      </c>
      <c r="I743" s="8">
        <f>Table4[[#This Row],[Quantity]]*Table4[[#This Row],[Price per Unit]]</f>
        <v>1200</v>
      </c>
      <c r="J743">
        <v>1200</v>
      </c>
      <c r="K743" s="8" t="str">
        <f>IF(Table4[[#This Row],[Total Amount]]=Table4[[#This Row],[Calculated Total]],"Correct","Check")</f>
        <v>Correct</v>
      </c>
      <c r="L743" s="8"/>
    </row>
    <row r="744" spans="1:12" hidden="1">
      <c r="A744" s="2">
        <v>382</v>
      </c>
      <c r="B744" s="1">
        <v>45072</v>
      </c>
      <c r="C744" t="s">
        <v>395</v>
      </c>
      <c r="D744" t="s">
        <v>13</v>
      </c>
      <c r="E744">
        <v>53</v>
      </c>
      <c r="F744" s="2" t="s">
        <v>14</v>
      </c>
      <c r="G744">
        <v>2</v>
      </c>
      <c r="H744">
        <v>500</v>
      </c>
      <c r="I744" s="8">
        <f>Table4[[#This Row],[Quantity]]*Table4[[#This Row],[Price per Unit]]</f>
        <v>1000</v>
      </c>
      <c r="J744">
        <v>1000</v>
      </c>
      <c r="K744" s="8" t="str">
        <f>IF(Table4[[#This Row],[Total Amount]]=Table4[[#This Row],[Calculated Total]],"Correct","Check")</f>
        <v>Correct</v>
      </c>
      <c r="L744" s="8"/>
    </row>
    <row r="745" spans="1:12">
      <c r="A745" s="2">
        <v>680</v>
      </c>
      <c r="B745" s="1">
        <v>45221</v>
      </c>
      <c r="C745" t="s">
        <v>693</v>
      </c>
      <c r="D745" t="s">
        <v>13</v>
      </c>
      <c r="E745">
        <v>53</v>
      </c>
      <c r="F745" s="2" t="s">
        <v>14</v>
      </c>
      <c r="G745">
        <v>3</v>
      </c>
      <c r="H745">
        <v>300</v>
      </c>
      <c r="I745" s="8">
        <f>Table4[[#This Row],[Quantity]]*Table4[[#This Row],[Price per Unit]]</f>
        <v>900</v>
      </c>
      <c r="J745">
        <v>900</v>
      </c>
      <c r="K745" s="8" t="str">
        <f>IF(Table4[[#This Row],[Total Amount]]=Table4[[#This Row],[Calculated Total]],"Correct","Check")</f>
        <v>Correct</v>
      </c>
      <c r="L745" s="8"/>
    </row>
    <row r="746" spans="1:12" hidden="1">
      <c r="A746" s="2">
        <v>697</v>
      </c>
      <c r="B746" s="1">
        <v>44941</v>
      </c>
      <c r="C746" t="s">
        <v>710</v>
      </c>
      <c r="D746" t="s">
        <v>10</v>
      </c>
      <c r="E746">
        <v>53</v>
      </c>
      <c r="F746" s="2" t="s">
        <v>14</v>
      </c>
      <c r="G746">
        <v>1</v>
      </c>
      <c r="H746">
        <v>500</v>
      </c>
      <c r="I746" s="8">
        <f>Table4[[#This Row],[Quantity]]*Table4[[#This Row],[Price per Unit]]</f>
        <v>500</v>
      </c>
      <c r="J746">
        <v>500</v>
      </c>
      <c r="K746" s="8" t="str">
        <f>IF(Table4[[#This Row],[Total Amount]]=Table4[[#This Row],[Calculated Total]],"Correct","Check")</f>
        <v>Correct</v>
      </c>
      <c r="L746" s="8"/>
    </row>
    <row r="747" spans="1:12" hidden="1">
      <c r="A747" s="2">
        <v>168</v>
      </c>
      <c r="B747" s="1">
        <v>44981</v>
      </c>
      <c r="C747" t="s">
        <v>181</v>
      </c>
      <c r="D747" t="s">
        <v>10</v>
      </c>
      <c r="E747">
        <v>53</v>
      </c>
      <c r="F747" s="2" t="s">
        <v>14</v>
      </c>
      <c r="G747">
        <v>1</v>
      </c>
      <c r="H747">
        <v>300</v>
      </c>
      <c r="I747" s="8">
        <f>Table4[[#This Row],[Quantity]]*Table4[[#This Row],[Price per Unit]]</f>
        <v>300</v>
      </c>
      <c r="J747">
        <v>300</v>
      </c>
      <c r="K747" s="8" t="str">
        <f>IF(Table4[[#This Row],[Total Amount]]=Table4[[#This Row],[Calculated Total]],"Correct","Check")</f>
        <v>Correct</v>
      </c>
      <c r="L747" s="8"/>
    </row>
    <row r="748" spans="1:12" hidden="1">
      <c r="A748" s="2">
        <v>445</v>
      </c>
      <c r="B748" s="1">
        <v>44948</v>
      </c>
      <c r="C748" t="s">
        <v>458</v>
      </c>
      <c r="D748" t="s">
        <v>13</v>
      </c>
      <c r="E748">
        <v>53</v>
      </c>
      <c r="F748" s="2" t="s">
        <v>16</v>
      </c>
      <c r="G748">
        <v>1</v>
      </c>
      <c r="H748">
        <v>300</v>
      </c>
      <c r="I748" s="8">
        <f>Table4[[#This Row],[Quantity]]*Table4[[#This Row],[Price per Unit]]</f>
        <v>300</v>
      </c>
      <c r="J748">
        <v>300</v>
      </c>
      <c r="K748" s="8" t="str">
        <f>IF(Table4[[#This Row],[Total Amount]]=Table4[[#This Row],[Calculated Total]],"Correct","Check")</f>
        <v>Correct</v>
      </c>
      <c r="L748" s="8"/>
    </row>
    <row r="749" spans="1:12" hidden="1">
      <c r="A749" s="2">
        <v>687</v>
      </c>
      <c r="B749" s="1">
        <v>45141</v>
      </c>
      <c r="C749" t="s">
        <v>700</v>
      </c>
      <c r="D749" t="s">
        <v>13</v>
      </c>
      <c r="E749">
        <v>53</v>
      </c>
      <c r="F749" s="2" t="s">
        <v>16</v>
      </c>
      <c r="G749">
        <v>1</v>
      </c>
      <c r="H749">
        <v>300</v>
      </c>
      <c r="I749" s="8">
        <f>Table4[[#This Row],[Quantity]]*Table4[[#This Row],[Price per Unit]]</f>
        <v>300</v>
      </c>
      <c r="J749">
        <v>300</v>
      </c>
      <c r="K749" s="8" t="str">
        <f>IF(Table4[[#This Row],[Total Amount]]=Table4[[#This Row],[Calculated Total]],"Correct","Check")</f>
        <v>Correct</v>
      </c>
      <c r="L749" s="8"/>
    </row>
    <row r="750" spans="1:12">
      <c r="A750" s="2">
        <v>400</v>
      </c>
      <c r="B750" s="1">
        <v>44981</v>
      </c>
      <c r="C750" t="s">
        <v>413</v>
      </c>
      <c r="D750" t="s">
        <v>10</v>
      </c>
      <c r="E750">
        <v>53</v>
      </c>
      <c r="F750" s="2" t="s">
        <v>14</v>
      </c>
      <c r="G750">
        <v>4</v>
      </c>
      <c r="H750">
        <v>50</v>
      </c>
      <c r="I750" s="8">
        <f>Table4[[#This Row],[Quantity]]*Table4[[#This Row],[Price per Unit]]</f>
        <v>200</v>
      </c>
      <c r="J750">
        <v>200</v>
      </c>
      <c r="K750" s="8" t="str">
        <f>IF(Table4[[#This Row],[Total Amount]]=Table4[[#This Row],[Calculated Total]],"Correct","Check")</f>
        <v>Correct</v>
      </c>
      <c r="L750" s="8"/>
    </row>
    <row r="751" spans="1:12">
      <c r="A751" s="2">
        <v>961</v>
      </c>
      <c r="B751" s="1">
        <v>45083</v>
      </c>
      <c r="C751" t="s">
        <v>974</v>
      </c>
      <c r="D751" t="s">
        <v>10</v>
      </c>
      <c r="E751">
        <v>53</v>
      </c>
      <c r="F751" s="2" t="s">
        <v>11</v>
      </c>
      <c r="G751">
        <v>4</v>
      </c>
      <c r="H751">
        <v>50</v>
      </c>
      <c r="I751" s="8">
        <f>Table4[[#This Row],[Quantity]]*Table4[[#This Row],[Price per Unit]]</f>
        <v>200</v>
      </c>
      <c r="J751">
        <v>200</v>
      </c>
      <c r="K751" s="8" t="str">
        <f>IF(Table4[[#This Row],[Total Amount]]=Table4[[#This Row],[Calculated Total]],"Correct","Check")</f>
        <v>Correct</v>
      </c>
      <c r="L751" s="8"/>
    </row>
    <row r="752" spans="1:12">
      <c r="A752" s="2">
        <v>467</v>
      </c>
      <c r="B752" s="1">
        <v>45137</v>
      </c>
      <c r="C752" t="s">
        <v>480</v>
      </c>
      <c r="D752" t="s">
        <v>13</v>
      </c>
      <c r="E752">
        <v>53</v>
      </c>
      <c r="F752" s="2" t="s">
        <v>16</v>
      </c>
      <c r="G752">
        <v>3</v>
      </c>
      <c r="H752">
        <v>50</v>
      </c>
      <c r="I752" s="8">
        <f>Table4[[#This Row],[Quantity]]*Table4[[#This Row],[Price per Unit]]</f>
        <v>150</v>
      </c>
      <c r="J752">
        <v>150</v>
      </c>
      <c r="K752" s="8" t="str">
        <f>IF(Table4[[#This Row],[Total Amount]]=Table4[[#This Row],[Calculated Total]],"Correct","Check")</f>
        <v>Correct</v>
      </c>
      <c r="L752" s="8"/>
    </row>
    <row r="753" spans="1:12">
      <c r="A753" s="2">
        <v>978</v>
      </c>
      <c r="B753" s="1">
        <v>45007</v>
      </c>
      <c r="C753" t="s">
        <v>991</v>
      </c>
      <c r="D753" t="s">
        <v>13</v>
      </c>
      <c r="E753">
        <v>53</v>
      </c>
      <c r="F753" s="2" t="s">
        <v>14</v>
      </c>
      <c r="G753">
        <v>3</v>
      </c>
      <c r="H753">
        <v>50</v>
      </c>
      <c r="I753" s="8">
        <f>Table4[[#This Row],[Quantity]]*Table4[[#This Row],[Price per Unit]]</f>
        <v>150</v>
      </c>
      <c r="J753">
        <v>150</v>
      </c>
      <c r="K753" s="8" t="str">
        <f>IF(Table4[[#This Row],[Total Amount]]=Table4[[#This Row],[Calculated Total]],"Correct","Check")</f>
        <v>Correct</v>
      </c>
      <c r="L753" s="8"/>
    </row>
    <row r="754" spans="1:12">
      <c r="A754" s="2">
        <v>591</v>
      </c>
      <c r="B754" s="1">
        <v>44939</v>
      </c>
      <c r="C754" t="s">
        <v>604</v>
      </c>
      <c r="D754" t="s">
        <v>10</v>
      </c>
      <c r="E754">
        <v>53</v>
      </c>
      <c r="F754" s="2" t="s">
        <v>16</v>
      </c>
      <c r="G754">
        <v>4</v>
      </c>
      <c r="H754">
        <v>25</v>
      </c>
      <c r="I754" s="8">
        <f>Table4[[#This Row],[Quantity]]*Table4[[#This Row],[Price per Unit]]</f>
        <v>100</v>
      </c>
      <c r="J754">
        <v>100</v>
      </c>
      <c r="K754" s="8" t="str">
        <f>IF(Table4[[#This Row],[Total Amount]]=Table4[[#This Row],[Calculated Total]],"Correct","Check")</f>
        <v>Correct</v>
      </c>
      <c r="L754" s="8"/>
    </row>
    <row r="755" spans="1:12">
      <c r="A755" s="2">
        <v>219</v>
      </c>
      <c r="B755" s="1">
        <v>45158</v>
      </c>
      <c r="C755" t="s">
        <v>232</v>
      </c>
      <c r="D755" t="s">
        <v>13</v>
      </c>
      <c r="E755">
        <v>53</v>
      </c>
      <c r="F755" s="2" t="s">
        <v>16</v>
      </c>
      <c r="G755">
        <v>3</v>
      </c>
      <c r="H755">
        <v>30</v>
      </c>
      <c r="I755" s="8">
        <f>Table4[[#This Row],[Quantity]]*Table4[[#This Row],[Price per Unit]]</f>
        <v>90</v>
      </c>
      <c r="J755">
        <v>90</v>
      </c>
      <c r="K755" s="8" t="str">
        <f>IF(Table4[[#This Row],[Total Amount]]=Table4[[#This Row],[Calculated Total]],"Correct","Check")</f>
        <v>Correct</v>
      </c>
      <c r="L755" s="8"/>
    </row>
    <row r="756" spans="1:12" hidden="1">
      <c r="A756" s="2">
        <v>289</v>
      </c>
      <c r="B756" s="1">
        <v>45260</v>
      </c>
      <c r="C756" t="s">
        <v>302</v>
      </c>
      <c r="D756" t="s">
        <v>10</v>
      </c>
      <c r="E756">
        <v>53</v>
      </c>
      <c r="F756" s="2" t="s">
        <v>16</v>
      </c>
      <c r="G756">
        <v>2</v>
      </c>
      <c r="H756">
        <v>30</v>
      </c>
      <c r="I756" s="8">
        <f>Table4[[#This Row],[Quantity]]*Table4[[#This Row],[Price per Unit]]</f>
        <v>60</v>
      </c>
      <c r="J756">
        <v>60</v>
      </c>
      <c r="K756" s="8" t="str">
        <f>IF(Table4[[#This Row],[Total Amount]]=Table4[[#This Row],[Calculated Total]],"Correct","Check")</f>
        <v>Correct</v>
      </c>
      <c r="L756" s="8"/>
    </row>
    <row r="757" spans="1:12" hidden="1">
      <c r="A757" s="2">
        <v>415</v>
      </c>
      <c r="B757" s="1">
        <v>44953</v>
      </c>
      <c r="C757" t="s">
        <v>428</v>
      </c>
      <c r="D757" t="s">
        <v>10</v>
      </c>
      <c r="E757">
        <v>53</v>
      </c>
      <c r="F757" s="2" t="s">
        <v>14</v>
      </c>
      <c r="G757">
        <v>2</v>
      </c>
      <c r="H757">
        <v>30</v>
      </c>
      <c r="I757" s="8">
        <f>Table4[[#This Row],[Quantity]]*Table4[[#This Row],[Price per Unit]]</f>
        <v>60</v>
      </c>
      <c r="J757">
        <v>60</v>
      </c>
      <c r="K757" s="8" t="str">
        <f>IF(Table4[[#This Row],[Total Amount]]=Table4[[#This Row],[Calculated Total]],"Correct","Check")</f>
        <v>Correct</v>
      </c>
      <c r="L757" s="8"/>
    </row>
    <row r="758" spans="1:12">
      <c r="A758" s="2">
        <v>731</v>
      </c>
      <c r="B758" s="1">
        <v>45056</v>
      </c>
      <c r="C758" t="s">
        <v>744</v>
      </c>
      <c r="D758" t="s">
        <v>10</v>
      </c>
      <c r="E758">
        <v>54</v>
      </c>
      <c r="F758" s="2" t="s">
        <v>14</v>
      </c>
      <c r="G758">
        <v>4</v>
      </c>
      <c r="H758">
        <v>500</v>
      </c>
      <c r="I758" s="8">
        <f>Table4[[#This Row],[Quantity]]*Table4[[#This Row],[Price per Unit]]</f>
        <v>2000</v>
      </c>
      <c r="J758">
        <v>2000</v>
      </c>
      <c r="K758" s="8" t="str">
        <f>IF(Table4[[#This Row],[Total Amount]]=Table4[[#This Row],[Calculated Total]],"Correct","Check")</f>
        <v>Correct</v>
      </c>
      <c r="L758" s="8"/>
    </row>
    <row r="759" spans="1:12">
      <c r="A759" s="2">
        <v>463</v>
      </c>
      <c r="B759" s="1">
        <v>45138</v>
      </c>
      <c r="C759" t="s">
        <v>476</v>
      </c>
      <c r="D759" t="s">
        <v>13</v>
      </c>
      <c r="E759">
        <v>54</v>
      </c>
      <c r="F759" s="2" t="s">
        <v>11</v>
      </c>
      <c r="G759">
        <v>3</v>
      </c>
      <c r="H759">
        <v>500</v>
      </c>
      <c r="I759" s="8">
        <f>Table4[[#This Row],[Quantity]]*Table4[[#This Row],[Price per Unit]]</f>
        <v>1500</v>
      </c>
      <c r="J759">
        <v>1500</v>
      </c>
      <c r="K759" s="8" t="str">
        <f>IF(Table4[[#This Row],[Total Amount]]=Table4[[#This Row],[Calculated Total]],"Correct","Check")</f>
        <v>Correct</v>
      </c>
      <c r="L759" s="8"/>
    </row>
    <row r="760" spans="1:12">
      <c r="A760" s="2">
        <v>333</v>
      </c>
      <c r="B760" s="1">
        <v>44962</v>
      </c>
      <c r="C760" t="s">
        <v>346</v>
      </c>
      <c r="D760" t="s">
        <v>13</v>
      </c>
      <c r="E760">
        <v>54</v>
      </c>
      <c r="F760" s="2" t="s">
        <v>16</v>
      </c>
      <c r="G760">
        <v>4</v>
      </c>
      <c r="H760">
        <v>300</v>
      </c>
      <c r="I760" s="8">
        <f>Table4[[#This Row],[Quantity]]*Table4[[#This Row],[Price per Unit]]</f>
        <v>1200</v>
      </c>
      <c r="J760">
        <v>1200</v>
      </c>
      <c r="K760" s="8" t="str">
        <f>IF(Table4[[#This Row],[Total Amount]]=Table4[[#This Row],[Calculated Total]],"Correct","Check")</f>
        <v>Correct</v>
      </c>
      <c r="L760" s="8"/>
    </row>
    <row r="761" spans="1:12" hidden="1">
      <c r="A761" s="2">
        <v>49</v>
      </c>
      <c r="B761" s="1">
        <v>44949</v>
      </c>
      <c r="C761" t="s">
        <v>62</v>
      </c>
      <c r="D761" t="s">
        <v>13</v>
      </c>
      <c r="E761">
        <v>54</v>
      </c>
      <c r="F761" s="2" t="s">
        <v>16</v>
      </c>
      <c r="G761">
        <v>2</v>
      </c>
      <c r="H761">
        <v>500</v>
      </c>
      <c r="I761" s="8">
        <f>Table4[[#This Row],[Quantity]]*Table4[[#This Row],[Price per Unit]]</f>
        <v>1000</v>
      </c>
      <c r="J761">
        <v>1000</v>
      </c>
      <c r="K761" s="8" t="str">
        <f>IF(Table4[[#This Row],[Total Amount]]=Table4[[#This Row],[Calculated Total]],"Correct","Check")</f>
        <v>Correct</v>
      </c>
      <c r="L761" s="8"/>
    </row>
    <row r="762" spans="1:12">
      <c r="A762" s="2">
        <v>48</v>
      </c>
      <c r="B762" s="1">
        <v>45062</v>
      </c>
      <c r="C762" t="s">
        <v>61</v>
      </c>
      <c r="D762" t="s">
        <v>10</v>
      </c>
      <c r="E762">
        <v>54</v>
      </c>
      <c r="F762" s="2" t="s">
        <v>16</v>
      </c>
      <c r="G762">
        <v>3</v>
      </c>
      <c r="H762">
        <v>300</v>
      </c>
      <c r="I762" s="8">
        <f>Table4[[#This Row],[Quantity]]*Table4[[#This Row],[Price per Unit]]</f>
        <v>900</v>
      </c>
      <c r="J762">
        <v>900</v>
      </c>
      <c r="K762" s="8" t="str">
        <f>IF(Table4[[#This Row],[Total Amount]]=Table4[[#This Row],[Calculated Total]],"Correct","Check")</f>
        <v>Correct</v>
      </c>
      <c r="L762" s="8"/>
    </row>
    <row r="763" spans="1:12">
      <c r="A763" s="2">
        <v>198</v>
      </c>
      <c r="B763" s="1">
        <v>44992</v>
      </c>
      <c r="C763" t="s">
        <v>211</v>
      </c>
      <c r="D763" t="s">
        <v>13</v>
      </c>
      <c r="E763">
        <v>54</v>
      </c>
      <c r="F763" s="2" t="s">
        <v>11</v>
      </c>
      <c r="G763">
        <v>3</v>
      </c>
      <c r="H763">
        <v>300</v>
      </c>
      <c r="I763" s="8">
        <f>Table4[[#This Row],[Quantity]]*Table4[[#This Row],[Price per Unit]]</f>
        <v>900</v>
      </c>
      <c r="J763">
        <v>900</v>
      </c>
      <c r="K763" s="8" t="str">
        <f>IF(Table4[[#This Row],[Total Amount]]=Table4[[#This Row],[Calculated Total]],"Correct","Check")</f>
        <v>Correct</v>
      </c>
      <c r="L763" s="8"/>
    </row>
    <row r="764" spans="1:12" hidden="1">
      <c r="A764" s="2">
        <v>386</v>
      </c>
      <c r="B764" s="1">
        <v>45287</v>
      </c>
      <c r="C764" t="s">
        <v>399</v>
      </c>
      <c r="D764" t="s">
        <v>13</v>
      </c>
      <c r="E764">
        <v>54</v>
      </c>
      <c r="F764" s="2" t="s">
        <v>16</v>
      </c>
      <c r="G764">
        <v>2</v>
      </c>
      <c r="H764">
        <v>300</v>
      </c>
      <c r="I764" s="8">
        <f>Table4[[#This Row],[Quantity]]*Table4[[#This Row],[Price per Unit]]</f>
        <v>600</v>
      </c>
      <c r="J764">
        <v>600</v>
      </c>
      <c r="K764" s="8" t="str">
        <f>IF(Table4[[#This Row],[Total Amount]]=Table4[[#This Row],[Calculated Total]],"Correct","Check")</f>
        <v>Correct</v>
      </c>
      <c r="L764" s="8"/>
    </row>
    <row r="765" spans="1:12" hidden="1">
      <c r="A765" s="2">
        <v>845</v>
      </c>
      <c r="B765" s="1">
        <v>44932</v>
      </c>
      <c r="C765" t="s">
        <v>858</v>
      </c>
      <c r="D765" t="s">
        <v>10</v>
      </c>
      <c r="E765">
        <v>54</v>
      </c>
      <c r="F765" s="2" t="s">
        <v>14</v>
      </c>
      <c r="G765">
        <v>1</v>
      </c>
      <c r="H765">
        <v>500</v>
      </c>
      <c r="I765" s="8">
        <f>Table4[[#This Row],[Quantity]]*Table4[[#This Row],[Price per Unit]]</f>
        <v>500</v>
      </c>
      <c r="J765">
        <v>500</v>
      </c>
      <c r="K765" s="8" t="str">
        <f>IF(Table4[[#This Row],[Total Amount]]=Table4[[#This Row],[Calculated Total]],"Correct","Check")</f>
        <v>Correct</v>
      </c>
      <c r="L765" s="8"/>
    </row>
    <row r="766" spans="1:12" hidden="1">
      <c r="A766" s="2">
        <v>252</v>
      </c>
      <c r="B766" s="1">
        <v>45051</v>
      </c>
      <c r="C766" t="s">
        <v>265</v>
      </c>
      <c r="D766" t="s">
        <v>10</v>
      </c>
      <c r="E766">
        <v>54</v>
      </c>
      <c r="F766" s="2" t="s">
        <v>16</v>
      </c>
      <c r="G766">
        <v>1</v>
      </c>
      <c r="H766">
        <v>300</v>
      </c>
      <c r="I766" s="8">
        <f>Table4[[#This Row],[Quantity]]*Table4[[#This Row],[Price per Unit]]</f>
        <v>300</v>
      </c>
      <c r="J766">
        <v>300</v>
      </c>
      <c r="K766" s="8" t="str">
        <f>IF(Table4[[#This Row],[Total Amount]]=Table4[[#This Row],[Calculated Total]],"Correct","Check")</f>
        <v>Correct</v>
      </c>
      <c r="L766" s="8"/>
    </row>
    <row r="767" spans="1:12">
      <c r="A767" s="2">
        <v>723</v>
      </c>
      <c r="B767" s="1">
        <v>45094</v>
      </c>
      <c r="C767" t="s">
        <v>736</v>
      </c>
      <c r="D767" t="s">
        <v>13</v>
      </c>
      <c r="E767">
        <v>54</v>
      </c>
      <c r="F767" s="2" t="s">
        <v>11</v>
      </c>
      <c r="G767">
        <v>4</v>
      </c>
      <c r="H767">
        <v>50</v>
      </c>
      <c r="I767" s="8">
        <f>Table4[[#This Row],[Quantity]]*Table4[[#This Row],[Price per Unit]]</f>
        <v>200</v>
      </c>
      <c r="J767">
        <v>200</v>
      </c>
      <c r="K767" s="8" t="str">
        <f>IF(Table4[[#This Row],[Total Amount]]=Table4[[#This Row],[Calculated Total]],"Correct","Check")</f>
        <v>Correct</v>
      </c>
      <c r="L767" s="8"/>
    </row>
    <row r="768" spans="1:12">
      <c r="A768" s="2">
        <v>930</v>
      </c>
      <c r="B768" s="1">
        <v>45056</v>
      </c>
      <c r="C768" t="s">
        <v>943</v>
      </c>
      <c r="D768" t="s">
        <v>10</v>
      </c>
      <c r="E768">
        <v>54</v>
      </c>
      <c r="F768" s="2" t="s">
        <v>14</v>
      </c>
      <c r="G768">
        <v>4</v>
      </c>
      <c r="H768">
        <v>50</v>
      </c>
      <c r="I768" s="8">
        <f>Table4[[#This Row],[Quantity]]*Table4[[#This Row],[Price per Unit]]</f>
        <v>200</v>
      </c>
      <c r="J768">
        <v>200</v>
      </c>
      <c r="K768" s="8" t="str">
        <f>IF(Table4[[#This Row],[Total Amount]]=Table4[[#This Row],[Calculated Total]],"Correct","Check")</f>
        <v>Correct</v>
      </c>
      <c r="L768" s="8"/>
    </row>
    <row r="769" spans="1:12">
      <c r="A769" s="2">
        <v>856</v>
      </c>
      <c r="B769" s="1">
        <v>45257</v>
      </c>
      <c r="C769" t="s">
        <v>869</v>
      </c>
      <c r="D769" t="s">
        <v>10</v>
      </c>
      <c r="E769">
        <v>54</v>
      </c>
      <c r="F769" s="2" t="s">
        <v>16</v>
      </c>
      <c r="G769">
        <v>4</v>
      </c>
      <c r="H769">
        <v>30</v>
      </c>
      <c r="I769" s="8">
        <f>Table4[[#This Row],[Quantity]]*Table4[[#This Row],[Price per Unit]]</f>
        <v>120</v>
      </c>
      <c r="J769">
        <v>120</v>
      </c>
      <c r="K769" s="8" t="str">
        <f>IF(Table4[[#This Row],[Total Amount]]=Table4[[#This Row],[Calculated Total]],"Correct","Check")</f>
        <v>Correct</v>
      </c>
      <c r="L769" s="8"/>
    </row>
    <row r="770" spans="1:12">
      <c r="A770" s="2">
        <v>578</v>
      </c>
      <c r="B770" s="1">
        <v>45072</v>
      </c>
      <c r="C770" t="s">
        <v>591</v>
      </c>
      <c r="D770" t="s">
        <v>13</v>
      </c>
      <c r="E770">
        <v>54</v>
      </c>
      <c r="F770" s="2" t="s">
        <v>14</v>
      </c>
      <c r="G770">
        <v>4</v>
      </c>
      <c r="H770">
        <v>30</v>
      </c>
      <c r="I770" s="8">
        <f>Table4[[#This Row],[Quantity]]*Table4[[#This Row],[Price per Unit]]</f>
        <v>120</v>
      </c>
      <c r="J770">
        <v>120</v>
      </c>
      <c r="K770" s="8" t="str">
        <f>IF(Table4[[#This Row],[Total Amount]]=Table4[[#This Row],[Calculated Total]],"Correct","Check")</f>
        <v>Correct</v>
      </c>
      <c r="L770" s="8"/>
    </row>
    <row r="771" spans="1:12">
      <c r="A771" s="2">
        <v>287</v>
      </c>
      <c r="B771" s="1">
        <v>44977</v>
      </c>
      <c r="C771" t="s">
        <v>300</v>
      </c>
      <c r="D771" t="s">
        <v>10</v>
      </c>
      <c r="E771">
        <v>54</v>
      </c>
      <c r="F771" s="2" t="s">
        <v>14</v>
      </c>
      <c r="G771">
        <v>4</v>
      </c>
      <c r="H771">
        <v>25</v>
      </c>
      <c r="I771" s="8">
        <f>Table4[[#This Row],[Quantity]]*Table4[[#This Row],[Price per Unit]]</f>
        <v>100</v>
      </c>
      <c r="J771">
        <v>100</v>
      </c>
      <c r="K771" s="8" t="str">
        <f>IF(Table4[[#This Row],[Total Amount]]=Table4[[#This Row],[Calculated Total]],"Correct","Check")</f>
        <v>Correct</v>
      </c>
      <c r="L771" s="8"/>
    </row>
    <row r="772" spans="1:12" hidden="1">
      <c r="A772" s="2">
        <v>83</v>
      </c>
      <c r="B772" s="1">
        <v>45276</v>
      </c>
      <c r="C772" t="s">
        <v>96</v>
      </c>
      <c r="D772" t="s">
        <v>10</v>
      </c>
      <c r="E772">
        <v>54</v>
      </c>
      <c r="F772" s="2" t="s">
        <v>16</v>
      </c>
      <c r="G772">
        <v>2</v>
      </c>
      <c r="H772">
        <v>50</v>
      </c>
      <c r="I772" s="8">
        <f>Table4[[#This Row],[Quantity]]*Table4[[#This Row],[Price per Unit]]</f>
        <v>100</v>
      </c>
      <c r="J772">
        <v>100</v>
      </c>
      <c r="K772" s="8" t="str">
        <f>IF(Table4[[#This Row],[Total Amount]]=Table4[[#This Row],[Calculated Total]],"Correct","Check")</f>
        <v>Correct</v>
      </c>
      <c r="L772" s="8"/>
    </row>
    <row r="773" spans="1:12" hidden="1">
      <c r="A773" s="2">
        <v>338</v>
      </c>
      <c r="B773" s="1">
        <v>45133</v>
      </c>
      <c r="C773" t="s">
        <v>351</v>
      </c>
      <c r="D773" t="s">
        <v>10</v>
      </c>
      <c r="E773">
        <v>54</v>
      </c>
      <c r="F773" s="2" t="s">
        <v>11</v>
      </c>
      <c r="G773">
        <v>2</v>
      </c>
      <c r="H773">
        <v>50</v>
      </c>
      <c r="I773" s="8">
        <f>Table4[[#This Row],[Quantity]]*Table4[[#This Row],[Price per Unit]]</f>
        <v>100</v>
      </c>
      <c r="J773">
        <v>100</v>
      </c>
      <c r="K773" s="8" t="str">
        <f>IF(Table4[[#This Row],[Total Amount]]=Table4[[#This Row],[Calculated Total]],"Correct","Check")</f>
        <v>Correct</v>
      </c>
      <c r="L773" s="8"/>
    </row>
    <row r="774" spans="1:12" hidden="1">
      <c r="A774" s="2">
        <v>745</v>
      </c>
      <c r="B774" s="1">
        <v>45029</v>
      </c>
      <c r="C774" t="s">
        <v>758</v>
      </c>
      <c r="D774" t="s">
        <v>10</v>
      </c>
      <c r="E774">
        <v>54</v>
      </c>
      <c r="F774" s="2" t="s">
        <v>11</v>
      </c>
      <c r="G774">
        <v>2</v>
      </c>
      <c r="H774">
        <v>50</v>
      </c>
      <c r="I774" s="8">
        <f>Table4[[#This Row],[Quantity]]*Table4[[#This Row],[Price per Unit]]</f>
        <v>100</v>
      </c>
      <c r="J774">
        <v>100</v>
      </c>
      <c r="K774" s="8" t="str">
        <f>IF(Table4[[#This Row],[Total Amount]]=Table4[[#This Row],[Calculated Total]],"Correct","Check")</f>
        <v>Correct</v>
      </c>
      <c r="L774" s="8"/>
    </row>
    <row r="775" spans="1:12">
      <c r="A775" s="2">
        <v>642</v>
      </c>
      <c r="B775" s="1">
        <v>45068</v>
      </c>
      <c r="C775" t="s">
        <v>655</v>
      </c>
      <c r="D775" t="s">
        <v>13</v>
      </c>
      <c r="E775">
        <v>54</v>
      </c>
      <c r="F775" s="2" t="s">
        <v>14</v>
      </c>
      <c r="G775">
        <v>4</v>
      </c>
      <c r="H775">
        <v>25</v>
      </c>
      <c r="I775" s="8">
        <f>Table4[[#This Row],[Quantity]]*Table4[[#This Row],[Price per Unit]]</f>
        <v>100</v>
      </c>
      <c r="J775">
        <v>100</v>
      </c>
      <c r="K775" s="8" t="str">
        <f>IF(Table4[[#This Row],[Total Amount]]=Table4[[#This Row],[Calculated Total]],"Correct","Check")</f>
        <v>Correct</v>
      </c>
      <c r="L775" s="8"/>
    </row>
    <row r="776" spans="1:12">
      <c r="A776" s="2">
        <v>607</v>
      </c>
      <c r="B776" s="1">
        <v>45002</v>
      </c>
      <c r="C776" t="s">
        <v>620</v>
      </c>
      <c r="D776" t="s">
        <v>10</v>
      </c>
      <c r="E776">
        <v>54</v>
      </c>
      <c r="F776" s="2" t="s">
        <v>14</v>
      </c>
      <c r="G776">
        <v>3</v>
      </c>
      <c r="H776">
        <v>25</v>
      </c>
      <c r="I776" s="8">
        <f>Table4[[#This Row],[Quantity]]*Table4[[#This Row],[Price per Unit]]</f>
        <v>75</v>
      </c>
      <c r="J776">
        <v>75</v>
      </c>
      <c r="K776" s="8" t="str">
        <f>IF(Table4[[#This Row],[Total Amount]]=Table4[[#This Row],[Calculated Total]],"Correct","Check")</f>
        <v>Correct</v>
      </c>
      <c r="L776" s="8"/>
    </row>
    <row r="777" spans="1:12">
      <c r="A777" s="2">
        <v>653</v>
      </c>
      <c r="B777" s="1">
        <v>45066</v>
      </c>
      <c r="C777" t="s">
        <v>666</v>
      </c>
      <c r="D777" t="s">
        <v>10</v>
      </c>
      <c r="E777">
        <v>54</v>
      </c>
      <c r="F777" s="2" t="s">
        <v>14</v>
      </c>
      <c r="G777">
        <v>3</v>
      </c>
      <c r="H777">
        <v>25</v>
      </c>
      <c r="I777" s="8">
        <f>Table4[[#This Row],[Quantity]]*Table4[[#This Row],[Price per Unit]]</f>
        <v>75</v>
      </c>
      <c r="J777">
        <v>75</v>
      </c>
      <c r="K777" s="8" t="str">
        <f>IF(Table4[[#This Row],[Total Amount]]=Table4[[#This Row],[Calculated Total]],"Correct","Check")</f>
        <v>Correct</v>
      </c>
      <c r="L777" s="8"/>
    </row>
    <row r="778" spans="1:12" hidden="1">
      <c r="A778" s="2">
        <v>448</v>
      </c>
      <c r="B778" s="1">
        <v>44947</v>
      </c>
      <c r="C778" t="s">
        <v>461</v>
      </c>
      <c r="D778" t="s">
        <v>13</v>
      </c>
      <c r="E778">
        <v>54</v>
      </c>
      <c r="F778" s="2" t="s">
        <v>11</v>
      </c>
      <c r="G778">
        <v>2</v>
      </c>
      <c r="H778">
        <v>30</v>
      </c>
      <c r="I778" s="8">
        <f>Table4[[#This Row],[Quantity]]*Table4[[#This Row],[Price per Unit]]</f>
        <v>60</v>
      </c>
      <c r="J778">
        <v>60</v>
      </c>
      <c r="K778" s="8" t="str">
        <f>IF(Table4[[#This Row],[Total Amount]]=Table4[[#This Row],[Calculated Total]],"Correct","Check")</f>
        <v>Correct</v>
      </c>
      <c r="L778" s="8"/>
    </row>
    <row r="779" spans="1:12" hidden="1">
      <c r="A779" s="2">
        <v>306</v>
      </c>
      <c r="B779" s="1">
        <v>45159</v>
      </c>
      <c r="C779" t="s">
        <v>319</v>
      </c>
      <c r="D779" t="s">
        <v>10</v>
      </c>
      <c r="E779">
        <v>54</v>
      </c>
      <c r="F779" s="2" t="s">
        <v>16</v>
      </c>
      <c r="G779">
        <v>1</v>
      </c>
      <c r="H779">
        <v>50</v>
      </c>
      <c r="I779" s="8">
        <f>Table4[[#This Row],[Quantity]]*Table4[[#This Row],[Price per Unit]]</f>
        <v>50</v>
      </c>
      <c r="J779">
        <v>50</v>
      </c>
      <c r="K779" s="8" t="str">
        <f>IF(Table4[[#This Row],[Total Amount]]=Table4[[#This Row],[Calculated Total]],"Correct","Check")</f>
        <v>Correct</v>
      </c>
      <c r="L779" s="8"/>
    </row>
    <row r="780" spans="1:12" hidden="1">
      <c r="A780" s="2">
        <v>562</v>
      </c>
      <c r="B780" s="1">
        <v>45034</v>
      </c>
      <c r="C780" t="s">
        <v>575</v>
      </c>
      <c r="D780" t="s">
        <v>10</v>
      </c>
      <c r="E780">
        <v>54</v>
      </c>
      <c r="F780" s="2" t="s">
        <v>16</v>
      </c>
      <c r="G780">
        <v>2</v>
      </c>
      <c r="H780">
        <v>25</v>
      </c>
      <c r="I780" s="8">
        <f>Table4[[#This Row],[Quantity]]*Table4[[#This Row],[Price per Unit]]</f>
        <v>50</v>
      </c>
      <c r="J780">
        <v>50</v>
      </c>
      <c r="K780" s="8" t="str">
        <f>IF(Table4[[#This Row],[Total Amount]]=Table4[[#This Row],[Calculated Total]],"Correct","Check")</f>
        <v>Correct</v>
      </c>
      <c r="L780" s="8"/>
    </row>
    <row r="781" spans="1:12" hidden="1">
      <c r="A781" s="2">
        <v>902</v>
      </c>
      <c r="B781" s="1">
        <v>45078</v>
      </c>
      <c r="C781" t="s">
        <v>915</v>
      </c>
      <c r="D781" t="s">
        <v>13</v>
      </c>
      <c r="E781">
        <v>54</v>
      </c>
      <c r="F781" s="2" t="s">
        <v>11</v>
      </c>
      <c r="G781">
        <v>1</v>
      </c>
      <c r="H781">
        <v>50</v>
      </c>
      <c r="I781" s="8">
        <f>Table4[[#This Row],[Quantity]]*Table4[[#This Row],[Price per Unit]]</f>
        <v>50</v>
      </c>
      <c r="J781">
        <v>50</v>
      </c>
      <c r="K781" s="8" t="str">
        <f>IF(Table4[[#This Row],[Total Amount]]=Table4[[#This Row],[Calculated Total]],"Correct","Check")</f>
        <v>Correct</v>
      </c>
      <c r="L781" s="8"/>
    </row>
    <row r="782" spans="1:12" hidden="1">
      <c r="A782" s="2">
        <v>793</v>
      </c>
      <c r="B782" s="1">
        <v>44962</v>
      </c>
      <c r="C782" t="s">
        <v>806</v>
      </c>
      <c r="D782" t="s">
        <v>10</v>
      </c>
      <c r="E782">
        <v>54</v>
      </c>
      <c r="F782" s="2" t="s">
        <v>11</v>
      </c>
      <c r="G782">
        <v>1</v>
      </c>
      <c r="H782">
        <v>30</v>
      </c>
      <c r="I782" s="8">
        <f>Table4[[#This Row],[Quantity]]*Table4[[#This Row],[Price per Unit]]</f>
        <v>30</v>
      </c>
      <c r="J782">
        <v>30</v>
      </c>
      <c r="K782" s="8" t="str">
        <f>IF(Table4[[#This Row],[Total Amount]]=Table4[[#This Row],[Calculated Total]],"Correct","Check")</f>
        <v>Correct</v>
      </c>
      <c r="L782" s="8"/>
    </row>
    <row r="783" spans="1:12" hidden="1">
      <c r="A783" s="2">
        <v>230</v>
      </c>
      <c r="B783" s="1">
        <v>45039</v>
      </c>
      <c r="C783" t="s">
        <v>243</v>
      </c>
      <c r="D783" t="s">
        <v>10</v>
      </c>
      <c r="E783">
        <v>54</v>
      </c>
      <c r="F783" s="2" t="s">
        <v>11</v>
      </c>
      <c r="G783">
        <v>1</v>
      </c>
      <c r="H783">
        <v>25</v>
      </c>
      <c r="I783" s="8">
        <f>Table4[[#This Row],[Quantity]]*Table4[[#This Row],[Price per Unit]]</f>
        <v>25</v>
      </c>
      <c r="J783">
        <v>25</v>
      </c>
      <c r="K783" s="8" t="str">
        <f>IF(Table4[[#This Row],[Total Amount]]=Table4[[#This Row],[Calculated Total]],"Correct","Check")</f>
        <v>Correct</v>
      </c>
      <c r="L783" s="8"/>
    </row>
    <row r="784" spans="1:12" hidden="1">
      <c r="A784" s="2">
        <v>855</v>
      </c>
      <c r="B784" s="1">
        <v>45170</v>
      </c>
      <c r="C784" t="s">
        <v>868</v>
      </c>
      <c r="D784" t="s">
        <v>10</v>
      </c>
      <c r="E784">
        <v>54</v>
      </c>
      <c r="F784" s="2" t="s">
        <v>11</v>
      </c>
      <c r="G784">
        <v>1</v>
      </c>
      <c r="H784">
        <v>25</v>
      </c>
      <c r="I784" s="8">
        <f>Table4[[#This Row],[Quantity]]*Table4[[#This Row],[Price per Unit]]</f>
        <v>25</v>
      </c>
      <c r="J784">
        <v>25</v>
      </c>
      <c r="K784" s="8" t="str">
        <f>IF(Table4[[#This Row],[Total Amount]]=Table4[[#This Row],[Calculated Total]],"Correct","Check")</f>
        <v>Correct</v>
      </c>
      <c r="L784" s="8"/>
    </row>
    <row r="785" spans="1:12" hidden="1">
      <c r="A785" s="2">
        <v>236</v>
      </c>
      <c r="B785" s="1">
        <v>45044</v>
      </c>
      <c r="C785" t="s">
        <v>249</v>
      </c>
      <c r="D785" t="s">
        <v>13</v>
      </c>
      <c r="E785">
        <v>54</v>
      </c>
      <c r="F785" s="2" t="s">
        <v>14</v>
      </c>
      <c r="G785">
        <v>1</v>
      </c>
      <c r="H785">
        <v>25</v>
      </c>
      <c r="I785" s="8">
        <f>Table4[[#This Row],[Quantity]]*Table4[[#This Row],[Price per Unit]]</f>
        <v>25</v>
      </c>
      <c r="J785">
        <v>25</v>
      </c>
      <c r="K785" s="8" t="str">
        <f>IF(Table4[[#This Row],[Total Amount]]=Table4[[#This Row],[Calculated Total]],"Correct","Check")</f>
        <v>Correct</v>
      </c>
      <c r="L785" s="8"/>
    </row>
    <row r="786" spans="1:12">
      <c r="A786" s="2">
        <v>89</v>
      </c>
      <c r="B786" s="1">
        <v>45200</v>
      </c>
      <c r="C786" t="s">
        <v>102</v>
      </c>
      <c r="D786" t="s">
        <v>13</v>
      </c>
      <c r="E786">
        <v>55</v>
      </c>
      <c r="F786" s="2" t="s">
        <v>16</v>
      </c>
      <c r="G786">
        <v>4</v>
      </c>
      <c r="H786">
        <v>500</v>
      </c>
      <c r="I786" s="8">
        <f>Table4[[#This Row],[Quantity]]*Table4[[#This Row],[Price per Unit]]</f>
        <v>2000</v>
      </c>
      <c r="J786">
        <v>2000</v>
      </c>
      <c r="K786" s="8" t="str">
        <f>IF(Table4[[#This Row],[Total Amount]]=Table4[[#This Row],[Calculated Total]],"Correct","Check")</f>
        <v>Correct</v>
      </c>
      <c r="L786" s="8"/>
    </row>
    <row r="787" spans="1:12">
      <c r="A787" s="2">
        <v>313</v>
      </c>
      <c r="B787" s="1">
        <v>45006</v>
      </c>
      <c r="C787" t="s">
        <v>326</v>
      </c>
      <c r="D787" t="s">
        <v>13</v>
      </c>
      <c r="E787">
        <v>55</v>
      </c>
      <c r="F787" s="2" t="s">
        <v>11</v>
      </c>
      <c r="G787">
        <v>3</v>
      </c>
      <c r="H787">
        <v>500</v>
      </c>
      <c r="I787" s="8">
        <f>Table4[[#This Row],[Quantity]]*Table4[[#This Row],[Price per Unit]]</f>
        <v>1500</v>
      </c>
      <c r="J787">
        <v>1500</v>
      </c>
      <c r="K787" s="8" t="str">
        <f>IF(Table4[[#This Row],[Total Amount]]=Table4[[#This Row],[Calculated Total]],"Correct","Check")</f>
        <v>Correct</v>
      </c>
      <c r="L787" s="8"/>
    </row>
    <row r="788" spans="1:12">
      <c r="A788" s="2">
        <v>608</v>
      </c>
      <c r="B788" s="1">
        <v>45262</v>
      </c>
      <c r="C788" t="s">
        <v>621</v>
      </c>
      <c r="D788" t="s">
        <v>13</v>
      </c>
      <c r="E788">
        <v>55</v>
      </c>
      <c r="F788" s="2" t="s">
        <v>16</v>
      </c>
      <c r="G788">
        <v>3</v>
      </c>
      <c r="H788">
        <v>500</v>
      </c>
      <c r="I788" s="8">
        <f>Table4[[#This Row],[Quantity]]*Table4[[#This Row],[Price per Unit]]</f>
        <v>1500</v>
      </c>
      <c r="J788">
        <v>1500</v>
      </c>
      <c r="K788" s="8" t="str">
        <f>IF(Table4[[#This Row],[Total Amount]]=Table4[[#This Row],[Calculated Total]],"Correct","Check")</f>
        <v>Correct</v>
      </c>
      <c r="L788" s="8"/>
    </row>
    <row r="789" spans="1:12">
      <c r="A789" s="2">
        <v>265</v>
      </c>
      <c r="B789" s="1">
        <v>45271</v>
      </c>
      <c r="C789" t="s">
        <v>278</v>
      </c>
      <c r="D789" t="s">
        <v>10</v>
      </c>
      <c r="E789">
        <v>55</v>
      </c>
      <c r="F789" s="2" t="s">
        <v>14</v>
      </c>
      <c r="G789">
        <v>3</v>
      </c>
      <c r="H789">
        <v>300</v>
      </c>
      <c r="I789" s="8">
        <f>Table4[[#This Row],[Quantity]]*Table4[[#This Row],[Price per Unit]]</f>
        <v>900</v>
      </c>
      <c r="J789">
        <v>900</v>
      </c>
      <c r="K789" s="8" t="str">
        <f>IF(Table4[[#This Row],[Total Amount]]=Table4[[#This Row],[Calculated Total]],"Correct","Check")</f>
        <v>Correct</v>
      </c>
      <c r="L789" s="8"/>
    </row>
    <row r="790" spans="1:12">
      <c r="A790" s="2">
        <v>727</v>
      </c>
      <c r="B790" s="1">
        <v>45099</v>
      </c>
      <c r="C790" t="s">
        <v>740</v>
      </c>
      <c r="D790" t="s">
        <v>10</v>
      </c>
      <c r="E790">
        <v>55</v>
      </c>
      <c r="F790" s="2" t="s">
        <v>11</v>
      </c>
      <c r="G790">
        <v>3</v>
      </c>
      <c r="H790">
        <v>300</v>
      </c>
      <c r="I790" s="8">
        <f>Table4[[#This Row],[Quantity]]*Table4[[#This Row],[Price per Unit]]</f>
        <v>900</v>
      </c>
      <c r="J790">
        <v>900</v>
      </c>
      <c r="K790" s="8" t="str">
        <f>IF(Table4[[#This Row],[Total Amount]]=Table4[[#This Row],[Calculated Total]],"Correct","Check")</f>
        <v>Correct</v>
      </c>
      <c r="L790" s="8"/>
    </row>
    <row r="791" spans="1:12" hidden="1">
      <c r="A791" s="2">
        <v>384</v>
      </c>
      <c r="B791" s="1">
        <v>45151</v>
      </c>
      <c r="C791" t="s">
        <v>397</v>
      </c>
      <c r="D791" t="s">
        <v>10</v>
      </c>
      <c r="E791">
        <v>55</v>
      </c>
      <c r="F791" s="2" t="s">
        <v>14</v>
      </c>
      <c r="G791">
        <v>1</v>
      </c>
      <c r="H791">
        <v>500</v>
      </c>
      <c r="I791" s="8">
        <f>Table4[[#This Row],[Quantity]]*Table4[[#This Row],[Price per Unit]]</f>
        <v>500</v>
      </c>
      <c r="J791">
        <v>500</v>
      </c>
      <c r="K791" s="8" t="str">
        <f>IF(Table4[[#This Row],[Total Amount]]=Table4[[#This Row],[Calculated Total]],"Correct","Check")</f>
        <v>Correct</v>
      </c>
      <c r="L791" s="8"/>
    </row>
    <row r="792" spans="1:12" hidden="1">
      <c r="A792" s="2">
        <v>655</v>
      </c>
      <c r="B792" s="1">
        <v>45090</v>
      </c>
      <c r="C792" t="s">
        <v>668</v>
      </c>
      <c r="D792" t="s">
        <v>13</v>
      </c>
      <c r="E792">
        <v>55</v>
      </c>
      <c r="F792" s="2" t="s">
        <v>14</v>
      </c>
      <c r="G792">
        <v>1</v>
      </c>
      <c r="H792">
        <v>500</v>
      </c>
      <c r="I792" s="8">
        <f>Table4[[#This Row],[Quantity]]*Table4[[#This Row],[Price per Unit]]</f>
        <v>500</v>
      </c>
      <c r="J792">
        <v>500</v>
      </c>
      <c r="K792" s="8" t="str">
        <f>IF(Table4[[#This Row],[Total Amount]]=Table4[[#This Row],[Calculated Total]],"Correct","Check")</f>
        <v>Correct</v>
      </c>
      <c r="L792" s="8"/>
    </row>
    <row r="793" spans="1:12" hidden="1">
      <c r="A793" s="2">
        <v>91</v>
      </c>
      <c r="B793" s="1">
        <v>45010</v>
      </c>
      <c r="C793" t="s">
        <v>104</v>
      </c>
      <c r="D793" t="s">
        <v>13</v>
      </c>
      <c r="E793">
        <v>55</v>
      </c>
      <c r="F793" s="2" t="s">
        <v>16</v>
      </c>
      <c r="G793">
        <v>1</v>
      </c>
      <c r="H793">
        <v>500</v>
      </c>
      <c r="I793" s="8">
        <f>Table4[[#This Row],[Quantity]]*Table4[[#This Row],[Price per Unit]]</f>
        <v>500</v>
      </c>
      <c r="J793">
        <v>500</v>
      </c>
      <c r="K793" s="8" t="str">
        <f>IF(Table4[[#This Row],[Total Amount]]=Table4[[#This Row],[Calculated Total]],"Correct","Check")</f>
        <v>Correct</v>
      </c>
      <c r="L793" s="8"/>
    </row>
    <row r="794" spans="1:12" hidden="1">
      <c r="A794" s="2">
        <v>355</v>
      </c>
      <c r="B794" s="1">
        <v>45269</v>
      </c>
      <c r="C794" t="s">
        <v>368</v>
      </c>
      <c r="D794" t="s">
        <v>13</v>
      </c>
      <c r="E794">
        <v>55</v>
      </c>
      <c r="F794" s="2" t="s">
        <v>16</v>
      </c>
      <c r="G794">
        <v>1</v>
      </c>
      <c r="H794">
        <v>500</v>
      </c>
      <c r="I794" s="8">
        <f>Table4[[#This Row],[Quantity]]*Table4[[#This Row],[Price per Unit]]</f>
        <v>500</v>
      </c>
      <c r="J794">
        <v>500</v>
      </c>
      <c r="K794" s="8" t="str">
        <f>IF(Table4[[#This Row],[Total Amount]]=Table4[[#This Row],[Calculated Total]],"Correct","Check")</f>
        <v>Correct</v>
      </c>
      <c r="L794" s="8"/>
    </row>
    <row r="795" spans="1:12">
      <c r="A795" s="2">
        <v>194</v>
      </c>
      <c r="B795" s="1">
        <v>45175</v>
      </c>
      <c r="C795" t="s">
        <v>207</v>
      </c>
      <c r="D795" t="s">
        <v>10</v>
      </c>
      <c r="E795">
        <v>55</v>
      </c>
      <c r="F795" s="2" t="s">
        <v>14</v>
      </c>
      <c r="G795">
        <v>4</v>
      </c>
      <c r="H795">
        <v>50</v>
      </c>
      <c r="I795" s="8">
        <f>Table4[[#This Row],[Quantity]]*Table4[[#This Row],[Price per Unit]]</f>
        <v>200</v>
      </c>
      <c r="J795">
        <v>200</v>
      </c>
      <c r="K795" s="8" t="str">
        <f>IF(Table4[[#This Row],[Total Amount]]=Table4[[#This Row],[Calculated Total]],"Correct","Check")</f>
        <v>Correct</v>
      </c>
      <c r="L795" s="8"/>
    </row>
    <row r="796" spans="1:12">
      <c r="A796" s="2">
        <v>425</v>
      </c>
      <c r="B796" s="1">
        <v>45061</v>
      </c>
      <c r="C796" t="s">
        <v>438</v>
      </c>
      <c r="D796" t="s">
        <v>13</v>
      </c>
      <c r="E796">
        <v>55</v>
      </c>
      <c r="F796" s="2" t="s">
        <v>16</v>
      </c>
      <c r="G796">
        <v>4</v>
      </c>
      <c r="H796">
        <v>30</v>
      </c>
      <c r="I796" s="8">
        <f>Table4[[#This Row],[Quantity]]*Table4[[#This Row],[Price per Unit]]</f>
        <v>120</v>
      </c>
      <c r="J796">
        <v>120</v>
      </c>
      <c r="K796" s="8" t="str">
        <f>IF(Table4[[#This Row],[Total Amount]]=Table4[[#This Row],[Calculated Total]],"Correct","Check")</f>
        <v>Correct</v>
      </c>
      <c r="L796" s="8"/>
    </row>
    <row r="797" spans="1:12">
      <c r="A797" s="2">
        <v>536</v>
      </c>
      <c r="B797" s="1">
        <v>44990</v>
      </c>
      <c r="C797" t="s">
        <v>549</v>
      </c>
      <c r="D797" t="s">
        <v>13</v>
      </c>
      <c r="E797">
        <v>55</v>
      </c>
      <c r="F797" s="2" t="s">
        <v>11</v>
      </c>
      <c r="G797">
        <v>4</v>
      </c>
      <c r="H797">
        <v>30</v>
      </c>
      <c r="I797" s="8">
        <f>Table4[[#This Row],[Quantity]]*Table4[[#This Row],[Price per Unit]]</f>
        <v>120</v>
      </c>
      <c r="J797">
        <v>120</v>
      </c>
      <c r="K797" s="8" t="str">
        <f>IF(Table4[[#This Row],[Total Amount]]=Table4[[#This Row],[Calculated Total]],"Correct","Check")</f>
        <v>Correct</v>
      </c>
      <c r="L797" s="8"/>
    </row>
    <row r="798" spans="1:12">
      <c r="A798" s="2">
        <v>895</v>
      </c>
      <c r="B798" s="1">
        <v>45068</v>
      </c>
      <c r="C798" t="s">
        <v>908</v>
      </c>
      <c r="D798" t="s">
        <v>13</v>
      </c>
      <c r="E798">
        <v>55</v>
      </c>
      <c r="F798" s="2" t="s">
        <v>14</v>
      </c>
      <c r="G798">
        <v>4</v>
      </c>
      <c r="H798">
        <v>30</v>
      </c>
      <c r="I798" s="8">
        <f>Table4[[#This Row],[Quantity]]*Table4[[#This Row],[Price per Unit]]</f>
        <v>120</v>
      </c>
      <c r="J798">
        <v>120</v>
      </c>
      <c r="K798" s="8" t="str">
        <f>IF(Table4[[#This Row],[Total Amount]]=Table4[[#This Row],[Calculated Total]],"Correct","Check")</f>
        <v>Correct</v>
      </c>
      <c r="L798" s="8"/>
    </row>
    <row r="799" spans="1:12" hidden="1">
      <c r="A799" s="2">
        <v>98</v>
      </c>
      <c r="B799" s="1">
        <v>45039</v>
      </c>
      <c r="C799" t="s">
        <v>111</v>
      </c>
      <c r="D799" t="s">
        <v>13</v>
      </c>
      <c r="E799">
        <v>55</v>
      </c>
      <c r="F799" s="2" t="s">
        <v>11</v>
      </c>
      <c r="G799">
        <v>2</v>
      </c>
      <c r="H799">
        <v>50</v>
      </c>
      <c r="I799" s="8">
        <f>Table4[[#This Row],[Quantity]]*Table4[[#This Row],[Price per Unit]]</f>
        <v>100</v>
      </c>
      <c r="J799">
        <v>100</v>
      </c>
      <c r="K799" s="8" t="str">
        <f>IF(Table4[[#This Row],[Total Amount]]=Table4[[#This Row],[Calculated Total]],"Correct","Check")</f>
        <v>Correct</v>
      </c>
      <c r="L799" s="8"/>
    </row>
    <row r="800" spans="1:12" hidden="1">
      <c r="A800" s="2">
        <v>924</v>
      </c>
      <c r="B800" s="1">
        <v>45167</v>
      </c>
      <c r="C800" t="s">
        <v>937</v>
      </c>
      <c r="D800" t="s">
        <v>10</v>
      </c>
      <c r="E800">
        <v>55</v>
      </c>
      <c r="F800" s="2" t="s">
        <v>11</v>
      </c>
      <c r="G800">
        <v>2</v>
      </c>
      <c r="H800">
        <v>50</v>
      </c>
      <c r="I800" s="8">
        <f>Table4[[#This Row],[Quantity]]*Table4[[#This Row],[Price per Unit]]</f>
        <v>100</v>
      </c>
      <c r="J800">
        <v>100</v>
      </c>
      <c r="K800" s="8" t="str">
        <f>IF(Table4[[#This Row],[Total Amount]]=Table4[[#This Row],[Calculated Total]],"Correct","Check")</f>
        <v>Correct</v>
      </c>
      <c r="L800" s="8"/>
    </row>
    <row r="801" spans="1:12" hidden="1">
      <c r="A801" s="2">
        <v>286</v>
      </c>
      <c r="B801" s="1">
        <v>45208</v>
      </c>
      <c r="C801" t="s">
        <v>299</v>
      </c>
      <c r="D801" t="s">
        <v>10</v>
      </c>
      <c r="E801">
        <v>55</v>
      </c>
      <c r="F801" s="2" t="s">
        <v>16</v>
      </c>
      <c r="G801">
        <v>2</v>
      </c>
      <c r="H801">
        <v>25</v>
      </c>
      <c r="I801" s="8">
        <f>Table4[[#This Row],[Quantity]]*Table4[[#This Row],[Price per Unit]]</f>
        <v>50</v>
      </c>
      <c r="J801">
        <v>50</v>
      </c>
      <c r="K801" s="8" t="str">
        <f>IF(Table4[[#This Row],[Total Amount]]=Table4[[#This Row],[Calculated Total]],"Correct","Check")</f>
        <v>Correct</v>
      </c>
      <c r="L801" s="8"/>
    </row>
    <row r="802" spans="1:12" hidden="1">
      <c r="A802" s="2">
        <v>963</v>
      </c>
      <c r="B802" s="1">
        <v>45244</v>
      </c>
      <c r="C802" t="s">
        <v>976</v>
      </c>
      <c r="D802" t="s">
        <v>13</v>
      </c>
      <c r="E802">
        <v>55</v>
      </c>
      <c r="F802" s="2" t="s">
        <v>11</v>
      </c>
      <c r="G802">
        <v>1</v>
      </c>
      <c r="H802">
        <v>50</v>
      </c>
      <c r="I802" s="8">
        <f>Table4[[#This Row],[Quantity]]*Table4[[#This Row],[Price per Unit]]</f>
        <v>50</v>
      </c>
      <c r="J802">
        <v>50</v>
      </c>
      <c r="K802" s="8" t="str">
        <f>IF(Table4[[#This Row],[Total Amount]]=Table4[[#This Row],[Calculated Total]],"Correct","Check")</f>
        <v>Correct</v>
      </c>
      <c r="L802" s="8"/>
    </row>
    <row r="803" spans="1:12" hidden="1">
      <c r="A803" s="2">
        <v>45</v>
      </c>
      <c r="B803" s="1">
        <v>45110</v>
      </c>
      <c r="C803" t="s">
        <v>58</v>
      </c>
      <c r="D803" t="s">
        <v>13</v>
      </c>
      <c r="E803">
        <v>55</v>
      </c>
      <c r="F803" s="2" t="s">
        <v>16</v>
      </c>
      <c r="G803">
        <v>1</v>
      </c>
      <c r="H803">
        <v>30</v>
      </c>
      <c r="I803" s="8">
        <f>Table4[[#This Row],[Quantity]]*Table4[[#This Row],[Price per Unit]]</f>
        <v>30</v>
      </c>
      <c r="J803">
        <v>30</v>
      </c>
      <c r="K803" s="8" t="str">
        <f>IF(Table4[[#This Row],[Total Amount]]=Table4[[#This Row],[Calculated Total]],"Correct","Check")</f>
        <v>Correct</v>
      </c>
      <c r="L803" s="8"/>
    </row>
    <row r="804" spans="1:12" hidden="1">
      <c r="A804" s="2">
        <v>396</v>
      </c>
      <c r="B804" s="1">
        <v>44980</v>
      </c>
      <c r="C804" t="s">
        <v>409</v>
      </c>
      <c r="D804" t="s">
        <v>13</v>
      </c>
      <c r="E804">
        <v>55</v>
      </c>
      <c r="F804" s="2" t="s">
        <v>11</v>
      </c>
      <c r="G804">
        <v>1</v>
      </c>
      <c r="H804">
        <v>30</v>
      </c>
      <c r="I804" s="8">
        <f>Table4[[#This Row],[Quantity]]*Table4[[#This Row],[Price per Unit]]</f>
        <v>30</v>
      </c>
      <c r="J804">
        <v>30</v>
      </c>
      <c r="K804" s="8" t="str">
        <f>IF(Table4[[#This Row],[Total Amount]]=Table4[[#This Row],[Calculated Total]],"Correct","Check")</f>
        <v>Correct</v>
      </c>
      <c r="L804" s="8"/>
    </row>
    <row r="805" spans="1:12" hidden="1">
      <c r="A805" s="2">
        <v>650</v>
      </c>
      <c r="B805" s="1">
        <v>45292</v>
      </c>
      <c r="C805" t="s">
        <v>663</v>
      </c>
      <c r="D805" t="s">
        <v>10</v>
      </c>
      <c r="E805">
        <v>55</v>
      </c>
      <c r="F805" s="2" t="s">
        <v>16</v>
      </c>
      <c r="G805">
        <v>1</v>
      </c>
      <c r="H805">
        <v>30</v>
      </c>
      <c r="I805" s="8">
        <f>Table4[[#This Row],[Quantity]]*Table4[[#This Row],[Price per Unit]]</f>
        <v>30</v>
      </c>
      <c r="J805">
        <v>30</v>
      </c>
      <c r="K805" s="8" t="str">
        <f>IF(Table4[[#This Row],[Total Amount]]=Table4[[#This Row],[Calculated Total]],"Correct","Check")</f>
        <v>Correct</v>
      </c>
      <c r="L805" s="8"/>
    </row>
    <row r="806" spans="1:12" hidden="1">
      <c r="A806" s="2">
        <v>483</v>
      </c>
      <c r="B806" s="1">
        <v>45041</v>
      </c>
      <c r="C806" t="s">
        <v>496</v>
      </c>
      <c r="D806" t="s">
        <v>10</v>
      </c>
      <c r="E806">
        <v>55</v>
      </c>
      <c r="F806" s="2" t="s">
        <v>14</v>
      </c>
      <c r="G806">
        <v>1</v>
      </c>
      <c r="H806">
        <v>30</v>
      </c>
      <c r="I806" s="8">
        <f>Table4[[#This Row],[Quantity]]*Table4[[#This Row],[Price per Unit]]</f>
        <v>30</v>
      </c>
      <c r="J806">
        <v>30</v>
      </c>
      <c r="K806" s="8" t="str">
        <f>IF(Table4[[#This Row],[Total Amount]]=Table4[[#This Row],[Calculated Total]],"Correct","Check")</f>
        <v>Correct</v>
      </c>
      <c r="L806" s="8"/>
    </row>
    <row r="807" spans="1:12">
      <c r="A807" s="2">
        <v>720</v>
      </c>
      <c r="B807" s="1">
        <v>44952</v>
      </c>
      <c r="C807" t="s">
        <v>733</v>
      </c>
      <c r="D807" t="s">
        <v>13</v>
      </c>
      <c r="E807">
        <v>56</v>
      </c>
      <c r="F807" s="2" t="s">
        <v>11</v>
      </c>
      <c r="G807">
        <v>3</v>
      </c>
      <c r="H807">
        <v>500</v>
      </c>
      <c r="I807" s="8">
        <f>Table4[[#This Row],[Quantity]]*Table4[[#This Row],[Price per Unit]]</f>
        <v>1500</v>
      </c>
      <c r="J807">
        <v>1500</v>
      </c>
      <c r="K807" s="8" t="str">
        <f>IF(Table4[[#This Row],[Total Amount]]=Table4[[#This Row],[Calculated Total]],"Correct","Check")</f>
        <v>Correct</v>
      </c>
      <c r="L807" s="8"/>
    </row>
    <row r="808" spans="1:12">
      <c r="A808" s="2">
        <v>859</v>
      </c>
      <c r="B808" s="1">
        <v>45156</v>
      </c>
      <c r="C808" t="s">
        <v>872</v>
      </c>
      <c r="D808" t="s">
        <v>13</v>
      </c>
      <c r="E808">
        <v>56</v>
      </c>
      <c r="F808" s="2" t="s">
        <v>16</v>
      </c>
      <c r="G808">
        <v>3</v>
      </c>
      <c r="H808">
        <v>500</v>
      </c>
      <c r="I808" s="8">
        <f>Table4[[#This Row],[Quantity]]*Table4[[#This Row],[Price per Unit]]</f>
        <v>1500</v>
      </c>
      <c r="J808">
        <v>1500</v>
      </c>
      <c r="K808" s="8" t="str">
        <f>IF(Table4[[#This Row],[Total Amount]]=Table4[[#This Row],[Calculated Total]],"Correct","Check")</f>
        <v>Correct</v>
      </c>
      <c r="L808" s="8"/>
    </row>
    <row r="809" spans="1:12">
      <c r="A809" s="2">
        <v>368</v>
      </c>
      <c r="B809" s="1">
        <v>45161</v>
      </c>
      <c r="C809" t="s">
        <v>381</v>
      </c>
      <c r="D809" t="s">
        <v>13</v>
      </c>
      <c r="E809">
        <v>56</v>
      </c>
      <c r="F809" s="2" t="s">
        <v>14</v>
      </c>
      <c r="G809">
        <v>4</v>
      </c>
      <c r="H809">
        <v>300</v>
      </c>
      <c r="I809" s="8">
        <f>Table4[[#This Row],[Quantity]]*Table4[[#This Row],[Price per Unit]]</f>
        <v>1200</v>
      </c>
      <c r="J809">
        <v>1200</v>
      </c>
      <c r="K809" s="8" t="str">
        <f>IF(Table4[[#This Row],[Total Amount]]=Table4[[#This Row],[Calculated Total]],"Correct","Check")</f>
        <v>Correct</v>
      </c>
      <c r="L809" s="8"/>
    </row>
    <row r="810" spans="1:12" hidden="1">
      <c r="A810" s="2">
        <v>203</v>
      </c>
      <c r="B810" s="1">
        <v>45062</v>
      </c>
      <c r="C810" t="s">
        <v>216</v>
      </c>
      <c r="D810" t="s">
        <v>10</v>
      </c>
      <c r="E810">
        <v>56</v>
      </c>
      <c r="F810" s="2" t="s">
        <v>14</v>
      </c>
      <c r="G810">
        <v>2</v>
      </c>
      <c r="H810">
        <v>500</v>
      </c>
      <c r="I810" s="8">
        <f>Table4[[#This Row],[Quantity]]*Table4[[#This Row],[Price per Unit]]</f>
        <v>1000</v>
      </c>
      <c r="J810">
        <v>1000</v>
      </c>
      <c r="K810" s="8" t="str">
        <f>IF(Table4[[#This Row],[Total Amount]]=Table4[[#This Row],[Calculated Total]],"Correct","Check")</f>
        <v>Correct</v>
      </c>
      <c r="L810" s="8"/>
    </row>
    <row r="811" spans="1:12" hidden="1">
      <c r="A811" s="2">
        <v>779</v>
      </c>
      <c r="B811" s="1">
        <v>45051</v>
      </c>
      <c r="C811" t="s">
        <v>792</v>
      </c>
      <c r="D811" t="s">
        <v>13</v>
      </c>
      <c r="E811">
        <v>56</v>
      </c>
      <c r="F811" s="2" t="s">
        <v>16</v>
      </c>
      <c r="G811">
        <v>2</v>
      </c>
      <c r="H811">
        <v>500</v>
      </c>
      <c r="I811" s="8">
        <f>Table4[[#This Row],[Quantity]]*Table4[[#This Row],[Price per Unit]]</f>
        <v>1000</v>
      </c>
      <c r="J811">
        <v>1000</v>
      </c>
      <c r="K811" s="8" t="str">
        <f>IF(Table4[[#This Row],[Total Amount]]=Table4[[#This Row],[Calculated Total]],"Correct","Check")</f>
        <v>Correct</v>
      </c>
      <c r="L811" s="8"/>
    </row>
    <row r="812" spans="1:12" hidden="1">
      <c r="A812" s="2">
        <v>380</v>
      </c>
      <c r="B812" s="1">
        <v>45052</v>
      </c>
      <c r="C812" t="s">
        <v>393</v>
      </c>
      <c r="D812" t="s">
        <v>10</v>
      </c>
      <c r="E812">
        <v>56</v>
      </c>
      <c r="F812" s="2" t="s">
        <v>16</v>
      </c>
      <c r="G812">
        <v>2</v>
      </c>
      <c r="H812">
        <v>300</v>
      </c>
      <c r="I812" s="8">
        <f>Table4[[#This Row],[Quantity]]*Table4[[#This Row],[Price per Unit]]</f>
        <v>600</v>
      </c>
      <c r="J812">
        <v>600</v>
      </c>
      <c r="K812" s="8" t="str">
        <f>IF(Table4[[#This Row],[Total Amount]]=Table4[[#This Row],[Calculated Total]],"Correct","Check")</f>
        <v>Correct</v>
      </c>
      <c r="L812" s="8"/>
    </row>
    <row r="813" spans="1:12" hidden="1">
      <c r="A813" s="2">
        <v>88</v>
      </c>
      <c r="B813" s="1">
        <v>45014</v>
      </c>
      <c r="C813" t="s">
        <v>101</v>
      </c>
      <c r="D813" t="s">
        <v>10</v>
      </c>
      <c r="E813">
        <v>56</v>
      </c>
      <c r="F813" s="2" t="s">
        <v>14</v>
      </c>
      <c r="G813">
        <v>1</v>
      </c>
      <c r="H813">
        <v>500</v>
      </c>
      <c r="I813" s="8">
        <f>Table4[[#This Row],[Quantity]]*Table4[[#This Row],[Price per Unit]]</f>
        <v>500</v>
      </c>
      <c r="J813">
        <v>500</v>
      </c>
      <c r="K813" s="8" t="str">
        <f>IF(Table4[[#This Row],[Total Amount]]=Table4[[#This Row],[Calculated Total]],"Correct","Check")</f>
        <v>Correct</v>
      </c>
      <c r="L813" s="8"/>
    </row>
    <row r="814" spans="1:12" hidden="1">
      <c r="A814" s="2">
        <v>541</v>
      </c>
      <c r="B814" s="1">
        <v>45136</v>
      </c>
      <c r="C814" t="s">
        <v>554</v>
      </c>
      <c r="D814" t="s">
        <v>10</v>
      </c>
      <c r="E814">
        <v>56</v>
      </c>
      <c r="F814" s="2" t="s">
        <v>11</v>
      </c>
      <c r="G814">
        <v>1</v>
      </c>
      <c r="H814">
        <v>500</v>
      </c>
      <c r="I814" s="8">
        <f>Table4[[#This Row],[Quantity]]*Table4[[#This Row],[Price per Unit]]</f>
        <v>500</v>
      </c>
      <c r="J814">
        <v>500</v>
      </c>
      <c r="K814" s="8" t="str">
        <f>IF(Table4[[#This Row],[Total Amount]]=Table4[[#This Row],[Calculated Total]],"Correct","Check")</f>
        <v>Correct</v>
      </c>
      <c r="L814" s="8"/>
    </row>
    <row r="815" spans="1:12" hidden="1">
      <c r="A815" s="2">
        <v>984</v>
      </c>
      <c r="B815" s="1">
        <v>45167</v>
      </c>
      <c r="C815" t="s">
        <v>997</v>
      </c>
      <c r="D815" t="s">
        <v>10</v>
      </c>
      <c r="E815">
        <v>56</v>
      </c>
      <c r="F815" s="2" t="s">
        <v>14</v>
      </c>
      <c r="G815">
        <v>1</v>
      </c>
      <c r="H815">
        <v>500</v>
      </c>
      <c r="I815" s="8">
        <f>Table4[[#This Row],[Quantity]]*Table4[[#This Row],[Price per Unit]]</f>
        <v>500</v>
      </c>
      <c r="J815">
        <v>500</v>
      </c>
      <c r="K815" s="8" t="str">
        <f>IF(Table4[[#This Row],[Total Amount]]=Table4[[#This Row],[Calculated Total]],"Correct","Check")</f>
        <v>Correct</v>
      </c>
      <c r="L815" s="8"/>
    </row>
    <row r="816" spans="1:12" hidden="1">
      <c r="A816" s="2">
        <v>783</v>
      </c>
      <c r="B816" s="1">
        <v>45277</v>
      </c>
      <c r="C816" t="s">
        <v>796</v>
      </c>
      <c r="D816" t="s">
        <v>13</v>
      </c>
      <c r="E816">
        <v>56</v>
      </c>
      <c r="F816" s="2" t="s">
        <v>14</v>
      </c>
      <c r="G816">
        <v>1</v>
      </c>
      <c r="H816">
        <v>300</v>
      </c>
      <c r="I816" s="8">
        <f>Table4[[#This Row],[Quantity]]*Table4[[#This Row],[Price per Unit]]</f>
        <v>300</v>
      </c>
      <c r="J816">
        <v>300</v>
      </c>
      <c r="K816" s="8" t="str">
        <f>IF(Table4[[#This Row],[Total Amount]]=Table4[[#This Row],[Calculated Total]],"Correct","Check")</f>
        <v>Correct</v>
      </c>
      <c r="L816" s="8"/>
    </row>
    <row r="817" spans="1:12">
      <c r="A817" s="2">
        <v>975</v>
      </c>
      <c r="B817" s="1">
        <v>45015</v>
      </c>
      <c r="C817" t="s">
        <v>988</v>
      </c>
      <c r="D817" t="s">
        <v>13</v>
      </c>
      <c r="E817">
        <v>56</v>
      </c>
      <c r="F817" s="2" t="s">
        <v>14</v>
      </c>
      <c r="G817">
        <v>4</v>
      </c>
      <c r="H817">
        <v>50</v>
      </c>
      <c r="I817" s="8">
        <f>Table4[[#This Row],[Quantity]]*Table4[[#This Row],[Price per Unit]]</f>
        <v>200</v>
      </c>
      <c r="J817">
        <v>200</v>
      </c>
      <c r="K817" s="8" t="str">
        <f>IF(Table4[[#This Row],[Total Amount]]=Table4[[#This Row],[Calculated Total]],"Correct","Check")</f>
        <v>Correct</v>
      </c>
      <c r="L817" s="8"/>
    </row>
    <row r="818" spans="1:12" hidden="1">
      <c r="A818" s="2">
        <v>799</v>
      </c>
      <c r="B818" s="1">
        <v>45177</v>
      </c>
      <c r="C818" t="s">
        <v>812</v>
      </c>
      <c r="D818" t="s">
        <v>10</v>
      </c>
      <c r="E818">
        <v>56</v>
      </c>
      <c r="F818" s="2" t="s">
        <v>16</v>
      </c>
      <c r="G818">
        <v>2</v>
      </c>
      <c r="H818">
        <v>50</v>
      </c>
      <c r="I818" s="8">
        <f>Table4[[#This Row],[Quantity]]*Table4[[#This Row],[Price per Unit]]</f>
        <v>100</v>
      </c>
      <c r="J818">
        <v>100</v>
      </c>
      <c r="K818" s="8" t="str">
        <f>IF(Table4[[#This Row],[Total Amount]]=Table4[[#This Row],[Calculated Total]],"Correct","Check")</f>
        <v>Correct</v>
      </c>
      <c r="L818" s="8"/>
    </row>
    <row r="819" spans="1:12" hidden="1">
      <c r="A819" s="2">
        <v>823</v>
      </c>
      <c r="B819" s="1">
        <v>45157</v>
      </c>
      <c r="C819" t="s">
        <v>836</v>
      </c>
      <c r="D819" t="s">
        <v>13</v>
      </c>
      <c r="E819">
        <v>56</v>
      </c>
      <c r="F819" s="2" t="s">
        <v>16</v>
      </c>
      <c r="G819">
        <v>2</v>
      </c>
      <c r="H819">
        <v>50</v>
      </c>
      <c r="I819" s="8">
        <f>Table4[[#This Row],[Quantity]]*Table4[[#This Row],[Price per Unit]]</f>
        <v>100</v>
      </c>
      <c r="J819">
        <v>100</v>
      </c>
      <c r="K819" s="8" t="str">
        <f>IF(Table4[[#This Row],[Total Amount]]=Table4[[#This Row],[Calculated Total]],"Correct","Check")</f>
        <v>Correct</v>
      </c>
      <c r="L819" s="8"/>
    </row>
    <row r="820" spans="1:12">
      <c r="A820" s="2">
        <v>688</v>
      </c>
      <c r="B820" s="1">
        <v>45202</v>
      </c>
      <c r="C820" t="s">
        <v>701</v>
      </c>
      <c r="D820" t="s">
        <v>10</v>
      </c>
      <c r="E820">
        <v>56</v>
      </c>
      <c r="F820" s="2" t="s">
        <v>14</v>
      </c>
      <c r="G820">
        <v>4</v>
      </c>
      <c r="H820">
        <v>25</v>
      </c>
      <c r="I820" s="8">
        <f>Table4[[#This Row],[Quantity]]*Table4[[#This Row],[Price per Unit]]</f>
        <v>100</v>
      </c>
      <c r="J820">
        <v>100</v>
      </c>
      <c r="K820" s="8" t="str">
        <f>IF(Table4[[#This Row],[Total Amount]]=Table4[[#This Row],[Calculated Total]],"Correct","Check")</f>
        <v>Correct</v>
      </c>
      <c r="L820" s="8"/>
    </row>
    <row r="821" spans="1:12">
      <c r="A821" s="2">
        <v>631</v>
      </c>
      <c r="B821" s="1">
        <v>45240</v>
      </c>
      <c r="C821" t="s">
        <v>644</v>
      </c>
      <c r="D821" t="s">
        <v>10</v>
      </c>
      <c r="E821">
        <v>56</v>
      </c>
      <c r="F821" s="2" t="s">
        <v>16</v>
      </c>
      <c r="G821">
        <v>3</v>
      </c>
      <c r="H821">
        <v>30</v>
      </c>
      <c r="I821" s="8">
        <f>Table4[[#This Row],[Quantity]]*Table4[[#This Row],[Price per Unit]]</f>
        <v>90</v>
      </c>
      <c r="J821">
        <v>90</v>
      </c>
      <c r="K821" s="8" t="str">
        <f>IF(Table4[[#This Row],[Total Amount]]=Table4[[#This Row],[Calculated Total]],"Correct","Check")</f>
        <v>Correct</v>
      </c>
      <c r="L821" s="8"/>
    </row>
    <row r="822" spans="1:12">
      <c r="A822" s="2">
        <v>351</v>
      </c>
      <c r="B822" s="1">
        <v>45194</v>
      </c>
      <c r="C822" t="s">
        <v>364</v>
      </c>
      <c r="D822" t="s">
        <v>13</v>
      </c>
      <c r="E822">
        <v>56</v>
      </c>
      <c r="F822" s="2" t="s">
        <v>14</v>
      </c>
      <c r="G822">
        <v>3</v>
      </c>
      <c r="H822">
        <v>30</v>
      </c>
      <c r="I822" s="8">
        <f>Table4[[#This Row],[Quantity]]*Table4[[#This Row],[Price per Unit]]</f>
        <v>90</v>
      </c>
      <c r="J822">
        <v>90</v>
      </c>
      <c r="K822" s="8" t="str">
        <f>IF(Table4[[#This Row],[Total Amount]]=Table4[[#This Row],[Calculated Total]],"Correct","Check")</f>
        <v>Correct</v>
      </c>
      <c r="L822" s="8"/>
    </row>
    <row r="823" spans="1:12">
      <c r="A823" s="2">
        <v>69</v>
      </c>
      <c r="B823" s="1">
        <v>45046</v>
      </c>
      <c r="C823" t="s">
        <v>82</v>
      </c>
      <c r="D823" t="s">
        <v>13</v>
      </c>
      <c r="E823">
        <v>56</v>
      </c>
      <c r="F823" s="2" t="s">
        <v>11</v>
      </c>
      <c r="G823">
        <v>3</v>
      </c>
      <c r="H823">
        <v>25</v>
      </c>
      <c r="I823" s="8">
        <f>Table4[[#This Row],[Quantity]]*Table4[[#This Row],[Price per Unit]]</f>
        <v>75</v>
      </c>
      <c r="J823">
        <v>75</v>
      </c>
      <c r="K823" s="8" t="str">
        <f>IF(Table4[[#This Row],[Total Amount]]=Table4[[#This Row],[Calculated Total]],"Correct","Check")</f>
        <v>Correct</v>
      </c>
      <c r="L823" s="8"/>
    </row>
    <row r="824" spans="1:12" hidden="1">
      <c r="A824" s="2">
        <v>834</v>
      </c>
      <c r="B824" s="1">
        <v>45020</v>
      </c>
      <c r="C824" t="s">
        <v>847</v>
      </c>
      <c r="D824" t="s">
        <v>13</v>
      </c>
      <c r="E824">
        <v>56</v>
      </c>
      <c r="F824" s="2" t="s">
        <v>11</v>
      </c>
      <c r="G824">
        <v>2</v>
      </c>
      <c r="H824">
        <v>30</v>
      </c>
      <c r="I824" s="8">
        <f>Table4[[#This Row],[Quantity]]*Table4[[#This Row],[Price per Unit]]</f>
        <v>60</v>
      </c>
      <c r="J824">
        <v>60</v>
      </c>
      <c r="K824" s="8" t="str">
        <f>IF(Table4[[#This Row],[Total Amount]]=Table4[[#This Row],[Calculated Total]],"Correct","Check")</f>
        <v>Correct</v>
      </c>
      <c r="L824" s="8"/>
    </row>
    <row r="825" spans="1:12" hidden="1">
      <c r="A825" s="2">
        <v>201</v>
      </c>
      <c r="B825" s="1">
        <v>45208</v>
      </c>
      <c r="C825" t="s">
        <v>214</v>
      </c>
      <c r="D825" t="s">
        <v>10</v>
      </c>
      <c r="E825">
        <v>56</v>
      </c>
      <c r="F825" s="2" t="s">
        <v>16</v>
      </c>
      <c r="G825">
        <v>1</v>
      </c>
      <c r="H825">
        <v>25</v>
      </c>
      <c r="I825" s="8">
        <f>Table4[[#This Row],[Quantity]]*Table4[[#This Row],[Price per Unit]]</f>
        <v>25</v>
      </c>
      <c r="J825">
        <v>25</v>
      </c>
      <c r="K825" s="8" t="str">
        <f>IF(Table4[[#This Row],[Total Amount]]=Table4[[#This Row],[Calculated Total]],"Correct","Check")</f>
        <v>Correct</v>
      </c>
      <c r="L825" s="8"/>
    </row>
    <row r="826" spans="1:12">
      <c r="A826" s="2">
        <v>424</v>
      </c>
      <c r="B826" s="1">
        <v>45253</v>
      </c>
      <c r="C826" t="s">
        <v>437</v>
      </c>
      <c r="D826" t="s">
        <v>10</v>
      </c>
      <c r="E826">
        <v>57</v>
      </c>
      <c r="F826" s="2" t="s">
        <v>11</v>
      </c>
      <c r="G826">
        <v>4</v>
      </c>
      <c r="H826">
        <v>300</v>
      </c>
      <c r="I826" s="8">
        <f>Table4[[#This Row],[Quantity]]*Table4[[#This Row],[Price per Unit]]</f>
        <v>1200</v>
      </c>
      <c r="J826">
        <v>1200</v>
      </c>
      <c r="K826" s="8" t="str">
        <f>IF(Table4[[#This Row],[Total Amount]]=Table4[[#This Row],[Calculated Total]],"Correct","Check")</f>
        <v>Correct</v>
      </c>
      <c r="L826" s="8"/>
    </row>
    <row r="827" spans="1:12">
      <c r="A827" s="2">
        <v>441</v>
      </c>
      <c r="B827" s="1">
        <v>45209</v>
      </c>
      <c r="C827" t="s">
        <v>454</v>
      </c>
      <c r="D827" t="s">
        <v>10</v>
      </c>
      <c r="E827">
        <v>57</v>
      </c>
      <c r="F827" s="2" t="s">
        <v>11</v>
      </c>
      <c r="G827">
        <v>4</v>
      </c>
      <c r="H827">
        <v>300</v>
      </c>
      <c r="I827" s="8">
        <f>Table4[[#This Row],[Quantity]]*Table4[[#This Row],[Price per Unit]]</f>
        <v>1200</v>
      </c>
      <c r="J827">
        <v>1200</v>
      </c>
      <c r="K827" s="8" t="str">
        <f>IF(Table4[[#This Row],[Total Amount]]=Table4[[#This Row],[Calculated Total]],"Correct","Check")</f>
        <v>Correct</v>
      </c>
      <c r="L827" s="8"/>
    </row>
    <row r="828" spans="1:12">
      <c r="A828" s="2">
        <v>943</v>
      </c>
      <c r="B828" s="1">
        <v>45215</v>
      </c>
      <c r="C828" t="s">
        <v>956</v>
      </c>
      <c r="D828" t="s">
        <v>13</v>
      </c>
      <c r="E828">
        <v>57</v>
      </c>
      <c r="F828" s="2" t="s">
        <v>14</v>
      </c>
      <c r="G828">
        <v>4</v>
      </c>
      <c r="H828">
        <v>300</v>
      </c>
      <c r="I828" s="8">
        <f>Table4[[#This Row],[Quantity]]*Table4[[#This Row],[Price per Unit]]</f>
        <v>1200</v>
      </c>
      <c r="J828">
        <v>1200</v>
      </c>
      <c r="K828" s="8" t="str">
        <f>IF(Table4[[#This Row],[Total Amount]]=Table4[[#This Row],[Calculated Total]],"Correct","Check")</f>
        <v>Correct</v>
      </c>
      <c r="L828" s="8"/>
    </row>
    <row r="829" spans="1:12" hidden="1">
      <c r="A829" s="2">
        <v>470</v>
      </c>
      <c r="B829" s="1">
        <v>45063</v>
      </c>
      <c r="C829" t="s">
        <v>483</v>
      </c>
      <c r="D829" t="s">
        <v>13</v>
      </c>
      <c r="E829">
        <v>57</v>
      </c>
      <c r="F829" s="2" t="s">
        <v>14</v>
      </c>
      <c r="G829">
        <v>2</v>
      </c>
      <c r="H829">
        <v>500</v>
      </c>
      <c r="I829" s="8">
        <f>Table4[[#This Row],[Quantity]]*Table4[[#This Row],[Price per Unit]]</f>
        <v>1000</v>
      </c>
      <c r="J829">
        <v>1000</v>
      </c>
      <c r="K829" s="8" t="str">
        <f>IF(Table4[[#This Row],[Total Amount]]=Table4[[#This Row],[Calculated Total]],"Correct","Check")</f>
        <v>Correct</v>
      </c>
      <c r="L829" s="8"/>
    </row>
    <row r="830" spans="1:12" hidden="1">
      <c r="A830" s="2">
        <v>352</v>
      </c>
      <c r="B830" s="1">
        <v>45088</v>
      </c>
      <c r="C830" t="s">
        <v>365</v>
      </c>
      <c r="D830" t="s">
        <v>10</v>
      </c>
      <c r="E830">
        <v>57</v>
      </c>
      <c r="F830" s="2" t="s">
        <v>16</v>
      </c>
      <c r="G830">
        <v>2</v>
      </c>
      <c r="H830">
        <v>500</v>
      </c>
      <c r="I830" s="8">
        <f>Table4[[#This Row],[Quantity]]*Table4[[#This Row],[Price per Unit]]</f>
        <v>1000</v>
      </c>
      <c r="J830">
        <v>1000</v>
      </c>
      <c r="K830" s="8" t="str">
        <f>IF(Table4[[#This Row],[Total Amount]]=Table4[[#This Row],[Calculated Total]],"Correct","Check")</f>
        <v>Correct</v>
      </c>
      <c r="L830" s="8"/>
    </row>
    <row r="831" spans="1:12" hidden="1">
      <c r="A831" s="2">
        <v>302</v>
      </c>
      <c r="B831" s="1">
        <v>45121</v>
      </c>
      <c r="C831" t="s">
        <v>315</v>
      </c>
      <c r="D831" t="s">
        <v>10</v>
      </c>
      <c r="E831">
        <v>57</v>
      </c>
      <c r="F831" s="2" t="s">
        <v>11</v>
      </c>
      <c r="G831">
        <v>2</v>
      </c>
      <c r="H831">
        <v>300</v>
      </c>
      <c r="I831" s="8">
        <f>Table4[[#This Row],[Quantity]]*Table4[[#This Row],[Price per Unit]]</f>
        <v>600</v>
      </c>
      <c r="J831">
        <v>600</v>
      </c>
      <c r="K831" s="8" t="str">
        <f>IF(Table4[[#This Row],[Total Amount]]=Table4[[#This Row],[Calculated Total]],"Correct","Check")</f>
        <v>Correct</v>
      </c>
      <c r="L831" s="8"/>
    </row>
    <row r="832" spans="1:12" hidden="1">
      <c r="A832" s="2">
        <v>130</v>
      </c>
      <c r="B832" s="1">
        <v>44997</v>
      </c>
      <c r="C832" t="s">
        <v>143</v>
      </c>
      <c r="D832" t="s">
        <v>13</v>
      </c>
      <c r="E832">
        <v>57</v>
      </c>
      <c r="F832" s="2" t="s">
        <v>14</v>
      </c>
      <c r="G832">
        <v>1</v>
      </c>
      <c r="H832">
        <v>500</v>
      </c>
      <c r="I832" s="8">
        <f>Table4[[#This Row],[Quantity]]*Table4[[#This Row],[Price per Unit]]</f>
        <v>500</v>
      </c>
      <c r="J832">
        <v>500</v>
      </c>
      <c r="K832" s="8" t="str">
        <f>IF(Table4[[#This Row],[Total Amount]]=Table4[[#This Row],[Calculated Total]],"Correct","Check")</f>
        <v>Correct</v>
      </c>
      <c r="L832" s="8"/>
    </row>
    <row r="833" spans="1:12" hidden="1">
      <c r="A833" s="2">
        <v>717</v>
      </c>
      <c r="B833" s="1">
        <v>44996</v>
      </c>
      <c r="C833" t="s">
        <v>730</v>
      </c>
      <c r="D833" t="s">
        <v>10</v>
      </c>
      <c r="E833">
        <v>57</v>
      </c>
      <c r="F833" s="2" t="s">
        <v>14</v>
      </c>
      <c r="G833">
        <v>1</v>
      </c>
      <c r="H833">
        <v>500</v>
      </c>
      <c r="I833" s="8">
        <f>Table4[[#This Row],[Quantity]]*Table4[[#This Row],[Price per Unit]]</f>
        <v>500</v>
      </c>
      <c r="J833">
        <v>500</v>
      </c>
      <c r="K833" s="8" t="str">
        <f>IF(Table4[[#This Row],[Total Amount]]=Table4[[#This Row],[Calculated Total]],"Correct","Check")</f>
        <v>Correct</v>
      </c>
      <c r="L833" s="8"/>
    </row>
    <row r="834" spans="1:12" hidden="1">
      <c r="A834" s="2">
        <v>795</v>
      </c>
      <c r="B834" s="1">
        <v>45258</v>
      </c>
      <c r="C834" t="s">
        <v>808</v>
      </c>
      <c r="D834" t="s">
        <v>10</v>
      </c>
      <c r="E834">
        <v>57</v>
      </c>
      <c r="F834" s="2" t="s">
        <v>16</v>
      </c>
      <c r="G834">
        <v>1</v>
      </c>
      <c r="H834">
        <v>300</v>
      </c>
      <c r="I834" s="8">
        <f>Table4[[#This Row],[Quantity]]*Table4[[#This Row],[Price per Unit]]</f>
        <v>300</v>
      </c>
      <c r="J834">
        <v>300</v>
      </c>
      <c r="K834" s="8" t="str">
        <f>IF(Table4[[#This Row],[Total Amount]]=Table4[[#This Row],[Calculated Total]],"Correct","Check")</f>
        <v>Correct</v>
      </c>
      <c r="L834" s="8"/>
    </row>
    <row r="835" spans="1:12">
      <c r="A835" s="2">
        <v>251</v>
      </c>
      <c r="B835" s="1">
        <v>45169</v>
      </c>
      <c r="C835" t="s">
        <v>264</v>
      </c>
      <c r="D835" t="s">
        <v>13</v>
      </c>
      <c r="E835">
        <v>57</v>
      </c>
      <c r="F835" s="2" t="s">
        <v>11</v>
      </c>
      <c r="G835">
        <v>4</v>
      </c>
      <c r="H835">
        <v>50</v>
      </c>
      <c r="I835" s="8">
        <f>Table4[[#This Row],[Quantity]]*Table4[[#This Row],[Price per Unit]]</f>
        <v>200</v>
      </c>
      <c r="J835">
        <v>200</v>
      </c>
      <c r="K835" s="8" t="str">
        <f>IF(Table4[[#This Row],[Total Amount]]=Table4[[#This Row],[Calculated Total]],"Correct","Check")</f>
        <v>Correct</v>
      </c>
      <c r="L835" s="8"/>
    </row>
    <row r="836" spans="1:12">
      <c r="A836" s="2">
        <v>917</v>
      </c>
      <c r="B836" s="1">
        <v>44991</v>
      </c>
      <c r="C836" t="s">
        <v>930</v>
      </c>
      <c r="D836" t="s">
        <v>13</v>
      </c>
      <c r="E836">
        <v>57</v>
      </c>
      <c r="F836" s="2" t="s">
        <v>16</v>
      </c>
      <c r="G836">
        <v>4</v>
      </c>
      <c r="H836">
        <v>50</v>
      </c>
      <c r="I836" s="8">
        <f>Table4[[#This Row],[Quantity]]*Table4[[#This Row],[Price per Unit]]</f>
        <v>200</v>
      </c>
      <c r="J836">
        <v>200</v>
      </c>
      <c r="K836" s="8" t="str">
        <f>IF(Table4[[#This Row],[Total Amount]]=Table4[[#This Row],[Calculated Total]],"Correct","Check")</f>
        <v>Correct</v>
      </c>
      <c r="L836" s="8"/>
    </row>
    <row r="837" spans="1:12">
      <c r="A837" s="2">
        <v>936</v>
      </c>
      <c r="B837" s="1">
        <v>44964</v>
      </c>
      <c r="C837" t="s">
        <v>949</v>
      </c>
      <c r="D837" t="s">
        <v>10</v>
      </c>
      <c r="E837">
        <v>57</v>
      </c>
      <c r="F837" s="2" t="s">
        <v>11</v>
      </c>
      <c r="G837">
        <v>4</v>
      </c>
      <c r="H837">
        <v>50</v>
      </c>
      <c r="I837" s="8">
        <f>Table4[[#This Row],[Quantity]]*Table4[[#This Row],[Price per Unit]]</f>
        <v>200</v>
      </c>
      <c r="J837">
        <v>200</v>
      </c>
      <c r="K837" s="8" t="str">
        <f>IF(Table4[[#This Row],[Total Amount]]=Table4[[#This Row],[Calculated Total]],"Correct","Check")</f>
        <v>Correct</v>
      </c>
      <c r="L837" s="8"/>
    </row>
    <row r="838" spans="1:12">
      <c r="A838" s="2">
        <v>327</v>
      </c>
      <c r="B838" s="1">
        <v>45198</v>
      </c>
      <c r="C838" t="s">
        <v>340</v>
      </c>
      <c r="D838" t="s">
        <v>10</v>
      </c>
      <c r="E838">
        <v>57</v>
      </c>
      <c r="F838" s="2" t="s">
        <v>16</v>
      </c>
      <c r="G838">
        <v>3</v>
      </c>
      <c r="H838">
        <v>50</v>
      </c>
      <c r="I838" s="8">
        <f>Table4[[#This Row],[Quantity]]*Table4[[#This Row],[Price per Unit]]</f>
        <v>150</v>
      </c>
      <c r="J838">
        <v>150</v>
      </c>
      <c r="K838" s="8" t="str">
        <f>IF(Table4[[#This Row],[Total Amount]]=Table4[[#This Row],[Calculated Total]],"Correct","Check")</f>
        <v>Correct</v>
      </c>
      <c r="L838" s="8"/>
    </row>
    <row r="839" spans="1:12">
      <c r="A839" s="2">
        <v>436</v>
      </c>
      <c r="B839" s="1">
        <v>45003</v>
      </c>
      <c r="C839" t="s">
        <v>449</v>
      </c>
      <c r="D839" t="s">
        <v>13</v>
      </c>
      <c r="E839">
        <v>57</v>
      </c>
      <c r="F839" s="2" t="s">
        <v>14</v>
      </c>
      <c r="G839">
        <v>4</v>
      </c>
      <c r="H839">
        <v>30</v>
      </c>
      <c r="I839" s="8">
        <f>Table4[[#This Row],[Quantity]]*Table4[[#This Row],[Price per Unit]]</f>
        <v>120</v>
      </c>
      <c r="J839">
        <v>120</v>
      </c>
      <c r="K839" s="8" t="str">
        <f>IF(Table4[[#This Row],[Total Amount]]=Table4[[#This Row],[Calculated Total]],"Correct","Check")</f>
        <v>Correct</v>
      </c>
      <c r="L839" s="8"/>
    </row>
    <row r="840" spans="1:12" hidden="1">
      <c r="A840" s="2">
        <v>366</v>
      </c>
      <c r="B840" s="1">
        <v>44964</v>
      </c>
      <c r="C840" t="s">
        <v>379</v>
      </c>
      <c r="D840" t="s">
        <v>10</v>
      </c>
      <c r="E840">
        <v>57</v>
      </c>
      <c r="F840" s="2" t="s">
        <v>14</v>
      </c>
      <c r="G840">
        <v>2</v>
      </c>
      <c r="H840">
        <v>50</v>
      </c>
      <c r="I840" s="8">
        <f>Table4[[#This Row],[Quantity]]*Table4[[#This Row],[Price per Unit]]</f>
        <v>100</v>
      </c>
      <c r="J840">
        <v>100</v>
      </c>
      <c r="K840" s="8" t="str">
        <f>IF(Table4[[#This Row],[Total Amount]]=Table4[[#This Row],[Calculated Total]],"Correct","Check")</f>
        <v>Correct</v>
      </c>
      <c r="L840" s="8"/>
    </row>
    <row r="841" spans="1:12">
      <c r="A841" s="2">
        <v>225</v>
      </c>
      <c r="B841" s="1">
        <v>44937</v>
      </c>
      <c r="C841" t="s">
        <v>238</v>
      </c>
      <c r="D841" t="s">
        <v>13</v>
      </c>
      <c r="E841">
        <v>57</v>
      </c>
      <c r="F841" s="2" t="s">
        <v>11</v>
      </c>
      <c r="G841">
        <v>4</v>
      </c>
      <c r="H841">
        <v>25</v>
      </c>
      <c r="I841" s="8">
        <f>Table4[[#This Row],[Quantity]]*Table4[[#This Row],[Price per Unit]]</f>
        <v>100</v>
      </c>
      <c r="J841">
        <v>100</v>
      </c>
      <c r="K841" s="8" t="str">
        <f>IF(Table4[[#This Row],[Total Amount]]=Table4[[#This Row],[Calculated Total]],"Correct","Check")</f>
        <v>Correct</v>
      </c>
      <c r="L841" s="8"/>
    </row>
    <row r="842" spans="1:12" hidden="1">
      <c r="A842" s="2">
        <v>689</v>
      </c>
      <c r="B842" s="1">
        <v>45206</v>
      </c>
      <c r="C842" t="s">
        <v>702</v>
      </c>
      <c r="D842" t="s">
        <v>10</v>
      </c>
      <c r="E842">
        <v>57</v>
      </c>
      <c r="F842" s="2" t="s">
        <v>16</v>
      </c>
      <c r="G842">
        <v>2</v>
      </c>
      <c r="H842">
        <v>50</v>
      </c>
      <c r="I842" s="8">
        <f>Table4[[#This Row],[Quantity]]*Table4[[#This Row],[Price per Unit]]</f>
        <v>100</v>
      </c>
      <c r="J842">
        <v>100</v>
      </c>
      <c r="K842" s="8" t="str">
        <f>IF(Table4[[#This Row],[Total Amount]]=Table4[[#This Row],[Calculated Total]],"Correct","Check")</f>
        <v>Correct</v>
      </c>
      <c r="L842" s="8"/>
    </row>
    <row r="843" spans="1:12" hidden="1">
      <c r="A843" s="2">
        <v>456</v>
      </c>
      <c r="B843" s="1">
        <v>45213</v>
      </c>
      <c r="C843" t="s">
        <v>469</v>
      </c>
      <c r="D843" t="s">
        <v>10</v>
      </c>
      <c r="E843">
        <v>57</v>
      </c>
      <c r="F843" s="2" t="s">
        <v>16</v>
      </c>
      <c r="G843">
        <v>2</v>
      </c>
      <c r="H843">
        <v>30</v>
      </c>
      <c r="I843" s="8">
        <f>Table4[[#This Row],[Quantity]]*Table4[[#This Row],[Price per Unit]]</f>
        <v>60</v>
      </c>
      <c r="J843">
        <v>60</v>
      </c>
      <c r="K843" s="8" t="str">
        <f>IF(Table4[[#This Row],[Total Amount]]=Table4[[#This Row],[Calculated Total]],"Correct","Check")</f>
        <v>Correct</v>
      </c>
      <c r="L843" s="8"/>
    </row>
    <row r="844" spans="1:12" hidden="1">
      <c r="A844" s="2">
        <v>992</v>
      </c>
      <c r="B844" s="1">
        <v>45159</v>
      </c>
      <c r="C844" t="s">
        <v>1005</v>
      </c>
      <c r="D844" t="s">
        <v>13</v>
      </c>
      <c r="E844">
        <v>57</v>
      </c>
      <c r="F844" s="2" t="s">
        <v>16</v>
      </c>
      <c r="G844">
        <v>2</v>
      </c>
      <c r="H844">
        <v>30</v>
      </c>
      <c r="I844" s="8">
        <f>Table4[[#This Row],[Quantity]]*Table4[[#This Row],[Price per Unit]]</f>
        <v>60</v>
      </c>
      <c r="J844">
        <v>60</v>
      </c>
      <c r="K844" s="8" t="str">
        <f>IF(Table4[[#This Row],[Total Amount]]=Table4[[#This Row],[Calculated Total]],"Correct","Check")</f>
        <v>Correct</v>
      </c>
      <c r="L844" s="8"/>
    </row>
    <row r="845" spans="1:12" hidden="1">
      <c r="A845" s="2">
        <v>63</v>
      </c>
      <c r="B845" s="1">
        <v>44962</v>
      </c>
      <c r="C845" t="s">
        <v>76</v>
      </c>
      <c r="D845" t="s">
        <v>10</v>
      </c>
      <c r="E845">
        <v>57</v>
      </c>
      <c r="F845" s="2" t="s">
        <v>16</v>
      </c>
      <c r="G845">
        <v>2</v>
      </c>
      <c r="H845">
        <v>25</v>
      </c>
      <c r="I845" s="8">
        <f>Table4[[#This Row],[Quantity]]*Table4[[#This Row],[Price per Unit]]</f>
        <v>50</v>
      </c>
      <c r="J845">
        <v>50</v>
      </c>
      <c r="K845" s="8" t="str">
        <f>IF(Table4[[#This Row],[Total Amount]]=Table4[[#This Row],[Calculated Total]],"Correct","Check")</f>
        <v>Correct</v>
      </c>
      <c r="L845" s="8"/>
    </row>
    <row r="846" spans="1:12" hidden="1">
      <c r="A846" s="2">
        <v>349</v>
      </c>
      <c r="B846" s="1">
        <v>45225</v>
      </c>
      <c r="C846" t="s">
        <v>362</v>
      </c>
      <c r="D846" t="s">
        <v>13</v>
      </c>
      <c r="E846">
        <v>57</v>
      </c>
      <c r="F846" s="2" t="s">
        <v>11</v>
      </c>
      <c r="G846">
        <v>1</v>
      </c>
      <c r="H846">
        <v>50</v>
      </c>
      <c r="I846" s="8">
        <f>Table4[[#This Row],[Quantity]]*Table4[[#This Row],[Price per Unit]]</f>
        <v>50</v>
      </c>
      <c r="J846">
        <v>50</v>
      </c>
      <c r="K846" s="8" t="str">
        <f>IF(Table4[[#This Row],[Total Amount]]=Table4[[#This Row],[Calculated Total]],"Correct","Check")</f>
        <v>Correct</v>
      </c>
      <c r="L846" s="8"/>
    </row>
    <row r="847" spans="1:12" hidden="1">
      <c r="A847" s="2">
        <v>367</v>
      </c>
      <c r="B847" s="1">
        <v>44931</v>
      </c>
      <c r="C847" t="s">
        <v>380</v>
      </c>
      <c r="D847" t="s">
        <v>13</v>
      </c>
      <c r="E847">
        <v>57</v>
      </c>
      <c r="F847" s="2" t="s">
        <v>16</v>
      </c>
      <c r="G847">
        <v>1</v>
      </c>
      <c r="H847">
        <v>50</v>
      </c>
      <c r="I847" s="8">
        <f>Table4[[#This Row],[Quantity]]*Table4[[#This Row],[Price per Unit]]</f>
        <v>50</v>
      </c>
      <c r="J847">
        <v>50</v>
      </c>
      <c r="K847" s="8" t="str">
        <f>IF(Table4[[#This Row],[Total Amount]]=Table4[[#This Row],[Calculated Total]],"Correct","Check")</f>
        <v>Correct</v>
      </c>
      <c r="L847" s="8"/>
    </row>
    <row r="848" spans="1:12" hidden="1">
      <c r="A848" s="2">
        <v>685</v>
      </c>
      <c r="B848" s="1">
        <v>45079</v>
      </c>
      <c r="C848" t="s">
        <v>698</v>
      </c>
      <c r="D848" t="s">
        <v>10</v>
      </c>
      <c r="E848">
        <v>57</v>
      </c>
      <c r="F848" s="2" t="s">
        <v>16</v>
      </c>
      <c r="G848">
        <v>2</v>
      </c>
      <c r="H848">
        <v>25</v>
      </c>
      <c r="I848" s="8">
        <f>Table4[[#This Row],[Quantity]]*Table4[[#This Row],[Price per Unit]]</f>
        <v>50</v>
      </c>
      <c r="J848">
        <v>50</v>
      </c>
      <c r="K848" s="8" t="str">
        <f>IF(Table4[[#This Row],[Total Amount]]=Table4[[#This Row],[Calculated Total]],"Correct","Check")</f>
        <v>Correct</v>
      </c>
      <c r="L848" s="8"/>
    </row>
    <row r="849" spans="1:12" hidden="1">
      <c r="A849" s="2">
        <v>712</v>
      </c>
      <c r="B849" s="1">
        <v>45266</v>
      </c>
      <c r="C849" t="s">
        <v>725</v>
      </c>
      <c r="D849" t="s">
        <v>13</v>
      </c>
      <c r="E849">
        <v>57</v>
      </c>
      <c r="F849" s="2" t="s">
        <v>11</v>
      </c>
      <c r="G849">
        <v>2</v>
      </c>
      <c r="H849">
        <v>25</v>
      </c>
      <c r="I849" s="8">
        <f>Table4[[#This Row],[Quantity]]*Table4[[#This Row],[Price per Unit]]</f>
        <v>50</v>
      </c>
      <c r="J849">
        <v>50</v>
      </c>
      <c r="K849" s="8" t="str">
        <f>IF(Table4[[#This Row],[Total Amount]]=Table4[[#This Row],[Calculated Total]],"Correct","Check")</f>
        <v>Correct</v>
      </c>
      <c r="L849" s="8"/>
    </row>
    <row r="850" spans="1:12" hidden="1">
      <c r="A850" s="2">
        <v>527</v>
      </c>
      <c r="B850" s="1">
        <v>45027</v>
      </c>
      <c r="C850" t="s">
        <v>540</v>
      </c>
      <c r="D850" t="s">
        <v>10</v>
      </c>
      <c r="E850">
        <v>57</v>
      </c>
      <c r="F850" s="2" t="s">
        <v>14</v>
      </c>
      <c r="G850">
        <v>2</v>
      </c>
      <c r="H850">
        <v>25</v>
      </c>
      <c r="I850" s="8">
        <f>Table4[[#This Row],[Quantity]]*Table4[[#This Row],[Price per Unit]]</f>
        <v>50</v>
      </c>
      <c r="J850">
        <v>50</v>
      </c>
      <c r="K850" s="8" t="str">
        <f>IF(Table4[[#This Row],[Total Amount]]=Table4[[#This Row],[Calculated Total]],"Correct","Check")</f>
        <v>Correct</v>
      </c>
      <c r="L850" s="8"/>
    </row>
    <row r="851" spans="1:12" hidden="1">
      <c r="A851" s="2">
        <v>627</v>
      </c>
      <c r="B851" s="1">
        <v>45213</v>
      </c>
      <c r="C851" t="s">
        <v>640</v>
      </c>
      <c r="D851" t="s">
        <v>10</v>
      </c>
      <c r="E851">
        <v>57</v>
      </c>
      <c r="F851" s="2" t="s">
        <v>14</v>
      </c>
      <c r="G851">
        <v>1</v>
      </c>
      <c r="H851">
        <v>50</v>
      </c>
      <c r="I851" s="8">
        <f>Table4[[#This Row],[Quantity]]*Table4[[#This Row],[Price per Unit]]</f>
        <v>50</v>
      </c>
      <c r="J851">
        <v>50</v>
      </c>
      <c r="K851" s="8" t="str">
        <f>IF(Table4[[#This Row],[Total Amount]]=Table4[[#This Row],[Calculated Total]],"Correct","Check")</f>
        <v>Correct</v>
      </c>
      <c r="L851" s="8"/>
    </row>
    <row r="852" spans="1:12" hidden="1">
      <c r="A852" s="2">
        <v>665</v>
      </c>
      <c r="B852" s="1">
        <v>45036</v>
      </c>
      <c r="C852" t="s">
        <v>678</v>
      </c>
      <c r="D852" t="s">
        <v>10</v>
      </c>
      <c r="E852">
        <v>57</v>
      </c>
      <c r="F852" s="2" t="s">
        <v>14</v>
      </c>
      <c r="G852">
        <v>1</v>
      </c>
      <c r="H852">
        <v>50</v>
      </c>
      <c r="I852" s="8">
        <f>Table4[[#This Row],[Quantity]]*Table4[[#This Row],[Price per Unit]]</f>
        <v>50</v>
      </c>
      <c r="J852">
        <v>50</v>
      </c>
      <c r="K852" s="8" t="str">
        <f>IF(Table4[[#This Row],[Total Amount]]=Table4[[#This Row],[Calculated Total]],"Correct","Check")</f>
        <v>Correct</v>
      </c>
      <c r="L852" s="8"/>
    </row>
    <row r="853" spans="1:12" hidden="1">
      <c r="A853" s="2">
        <v>941</v>
      </c>
      <c r="B853" s="1">
        <v>45004</v>
      </c>
      <c r="C853" t="s">
        <v>954</v>
      </c>
      <c r="D853" t="s">
        <v>13</v>
      </c>
      <c r="E853">
        <v>57</v>
      </c>
      <c r="F853" s="2" t="s">
        <v>14</v>
      </c>
      <c r="G853">
        <v>2</v>
      </c>
      <c r="H853">
        <v>25</v>
      </c>
      <c r="I853" s="8">
        <f>Table4[[#This Row],[Quantity]]*Table4[[#This Row],[Price per Unit]]</f>
        <v>50</v>
      </c>
      <c r="J853">
        <v>50</v>
      </c>
      <c r="K853" s="8" t="str">
        <f>IF(Table4[[#This Row],[Total Amount]]=Table4[[#This Row],[Calculated Total]],"Correct","Check")</f>
        <v>Correct</v>
      </c>
      <c r="L853" s="8"/>
    </row>
    <row r="854" spans="1:12" hidden="1">
      <c r="A854" s="2">
        <v>512</v>
      </c>
      <c r="B854" s="1">
        <v>45237</v>
      </c>
      <c r="C854" t="s">
        <v>525</v>
      </c>
      <c r="D854" t="s">
        <v>13</v>
      </c>
      <c r="E854">
        <v>57</v>
      </c>
      <c r="F854" s="2" t="s">
        <v>11</v>
      </c>
      <c r="G854">
        <v>1</v>
      </c>
      <c r="H854">
        <v>25</v>
      </c>
      <c r="I854" s="8">
        <f>Table4[[#This Row],[Quantity]]*Table4[[#This Row],[Price per Unit]]</f>
        <v>25</v>
      </c>
      <c r="J854">
        <v>25</v>
      </c>
      <c r="K854" s="8" t="str">
        <f>IF(Table4[[#This Row],[Total Amount]]=Table4[[#This Row],[Calculated Total]],"Correct","Check")</f>
        <v>Correct</v>
      </c>
      <c r="L854" s="8"/>
    </row>
    <row r="855" spans="1:12" hidden="1">
      <c r="A855" s="2">
        <v>952</v>
      </c>
      <c r="B855" s="1">
        <v>45243</v>
      </c>
      <c r="C855" t="s">
        <v>965</v>
      </c>
      <c r="D855" t="s">
        <v>13</v>
      </c>
      <c r="E855">
        <v>57</v>
      </c>
      <c r="F855" s="2" t="s">
        <v>14</v>
      </c>
      <c r="G855">
        <v>1</v>
      </c>
      <c r="H855">
        <v>25</v>
      </c>
      <c r="I855" s="8">
        <f>Table4[[#This Row],[Quantity]]*Table4[[#This Row],[Price per Unit]]</f>
        <v>25</v>
      </c>
      <c r="J855">
        <v>25</v>
      </c>
      <c r="K855" s="8" t="str">
        <f>IF(Table4[[#This Row],[Total Amount]]=Table4[[#This Row],[Calculated Total]],"Correct","Check")</f>
        <v>Correct</v>
      </c>
      <c r="L855" s="8"/>
    </row>
    <row r="856" spans="1:12">
      <c r="A856" s="2">
        <v>215</v>
      </c>
      <c r="B856" s="1">
        <v>45259</v>
      </c>
      <c r="C856" t="s">
        <v>228</v>
      </c>
      <c r="D856" t="s">
        <v>10</v>
      </c>
      <c r="E856">
        <v>58</v>
      </c>
      <c r="F856" s="2" t="s">
        <v>14</v>
      </c>
      <c r="G856">
        <v>3</v>
      </c>
      <c r="H856">
        <v>500</v>
      </c>
      <c r="I856" s="8">
        <f>Table4[[#This Row],[Quantity]]*Table4[[#This Row],[Price per Unit]]</f>
        <v>1500</v>
      </c>
      <c r="J856">
        <v>1500</v>
      </c>
      <c r="K856" s="8" t="str">
        <f>IF(Table4[[#This Row],[Total Amount]]=Table4[[#This Row],[Calculated Total]],"Correct","Check")</f>
        <v>Correct</v>
      </c>
      <c r="L856" s="8"/>
    </row>
    <row r="857" spans="1:12">
      <c r="A857" s="2">
        <v>332</v>
      </c>
      <c r="B857" s="1">
        <v>45022</v>
      </c>
      <c r="C857" t="s">
        <v>345</v>
      </c>
      <c r="D857" t="s">
        <v>10</v>
      </c>
      <c r="E857">
        <v>58</v>
      </c>
      <c r="F857" s="2" t="s">
        <v>16</v>
      </c>
      <c r="G857">
        <v>4</v>
      </c>
      <c r="H857">
        <v>300</v>
      </c>
      <c r="I857" s="8">
        <f>Table4[[#This Row],[Quantity]]*Table4[[#This Row],[Price per Unit]]</f>
        <v>1200</v>
      </c>
      <c r="J857">
        <v>1200</v>
      </c>
      <c r="K857" s="8" t="str">
        <f>IF(Table4[[#This Row],[Total Amount]]=Table4[[#This Row],[Calculated Total]],"Correct","Check")</f>
        <v>Correct</v>
      </c>
      <c r="L857" s="8"/>
    </row>
    <row r="858" spans="1:12" hidden="1">
      <c r="A858" s="2">
        <v>990</v>
      </c>
      <c r="B858" s="1">
        <v>45071</v>
      </c>
      <c r="C858" t="s">
        <v>1003</v>
      </c>
      <c r="D858" t="s">
        <v>13</v>
      </c>
      <c r="E858">
        <v>58</v>
      </c>
      <c r="F858" s="2" t="s">
        <v>11</v>
      </c>
      <c r="G858">
        <v>2</v>
      </c>
      <c r="H858">
        <v>500</v>
      </c>
      <c r="I858" s="8">
        <f>Table4[[#This Row],[Quantity]]*Table4[[#This Row],[Price per Unit]]</f>
        <v>1000</v>
      </c>
      <c r="J858">
        <v>1000</v>
      </c>
      <c r="K858" s="8" t="str">
        <f>IF(Table4[[#This Row],[Total Amount]]=Table4[[#This Row],[Calculated Total]],"Correct","Check")</f>
        <v>Correct</v>
      </c>
      <c r="L858" s="8"/>
    </row>
    <row r="859" spans="1:12">
      <c r="A859" s="2">
        <v>35</v>
      </c>
      <c r="B859" s="1">
        <v>45143</v>
      </c>
      <c r="C859" t="s">
        <v>48</v>
      </c>
      <c r="D859" t="s">
        <v>13</v>
      </c>
      <c r="E859">
        <v>58</v>
      </c>
      <c r="F859" s="2" t="s">
        <v>11</v>
      </c>
      <c r="G859">
        <v>3</v>
      </c>
      <c r="H859">
        <v>300</v>
      </c>
      <c r="I859" s="8">
        <f>Table4[[#This Row],[Quantity]]*Table4[[#This Row],[Price per Unit]]</f>
        <v>900</v>
      </c>
      <c r="J859">
        <v>900</v>
      </c>
      <c r="K859" s="8" t="str">
        <f>IF(Table4[[#This Row],[Total Amount]]=Table4[[#This Row],[Calculated Total]],"Correct","Check")</f>
        <v>Correct</v>
      </c>
      <c r="L859" s="8"/>
    </row>
    <row r="860" spans="1:12">
      <c r="A860" s="2">
        <v>457</v>
      </c>
      <c r="B860" s="1">
        <v>45135</v>
      </c>
      <c r="C860" t="s">
        <v>470</v>
      </c>
      <c r="D860" t="s">
        <v>13</v>
      </c>
      <c r="E860">
        <v>58</v>
      </c>
      <c r="F860" s="2" t="s">
        <v>11</v>
      </c>
      <c r="G860">
        <v>3</v>
      </c>
      <c r="H860">
        <v>300</v>
      </c>
      <c r="I860" s="8">
        <f>Table4[[#This Row],[Quantity]]*Table4[[#This Row],[Price per Unit]]</f>
        <v>900</v>
      </c>
      <c r="J860">
        <v>900</v>
      </c>
      <c r="K860" s="8" t="str">
        <f>IF(Table4[[#This Row],[Total Amount]]=Table4[[#This Row],[Calculated Total]],"Correct","Check")</f>
        <v>Correct</v>
      </c>
      <c r="L860" s="8"/>
    </row>
    <row r="861" spans="1:12" hidden="1">
      <c r="A861" s="2">
        <v>649</v>
      </c>
      <c r="B861" s="1">
        <v>44966</v>
      </c>
      <c r="C861" t="s">
        <v>662</v>
      </c>
      <c r="D861" t="s">
        <v>13</v>
      </c>
      <c r="E861">
        <v>58</v>
      </c>
      <c r="F861" s="2" t="s">
        <v>14</v>
      </c>
      <c r="G861">
        <v>2</v>
      </c>
      <c r="H861">
        <v>300</v>
      </c>
      <c r="I861" s="8">
        <f>Table4[[#This Row],[Quantity]]*Table4[[#This Row],[Price per Unit]]</f>
        <v>600</v>
      </c>
      <c r="J861">
        <v>600</v>
      </c>
      <c r="K861" s="8" t="str">
        <f>IF(Table4[[#This Row],[Total Amount]]=Table4[[#This Row],[Calculated Total]],"Correct","Check")</f>
        <v>Correct</v>
      </c>
      <c r="L861" s="8"/>
    </row>
    <row r="862" spans="1:12" hidden="1">
      <c r="A862" s="2">
        <v>508</v>
      </c>
      <c r="B862" s="1">
        <v>45149</v>
      </c>
      <c r="C862" t="s">
        <v>521</v>
      </c>
      <c r="D862" t="s">
        <v>10</v>
      </c>
      <c r="E862">
        <v>58</v>
      </c>
      <c r="F862" s="2" t="s">
        <v>11</v>
      </c>
      <c r="G862">
        <v>2</v>
      </c>
      <c r="H862">
        <v>300</v>
      </c>
      <c r="I862" s="8">
        <f>Table4[[#This Row],[Quantity]]*Table4[[#This Row],[Price per Unit]]</f>
        <v>600</v>
      </c>
      <c r="J862">
        <v>600</v>
      </c>
      <c r="K862" s="8" t="str">
        <f>IF(Table4[[#This Row],[Total Amount]]=Table4[[#This Row],[Calculated Total]],"Correct","Check")</f>
        <v>Correct</v>
      </c>
      <c r="L862" s="8"/>
    </row>
    <row r="863" spans="1:12" hidden="1">
      <c r="A863" s="2">
        <v>905</v>
      </c>
      <c r="B863" s="1">
        <v>45018</v>
      </c>
      <c r="C863" t="s">
        <v>918</v>
      </c>
      <c r="D863" t="s">
        <v>10</v>
      </c>
      <c r="E863">
        <v>58</v>
      </c>
      <c r="F863" s="2" t="s">
        <v>11</v>
      </c>
      <c r="G863">
        <v>1</v>
      </c>
      <c r="H863">
        <v>300</v>
      </c>
      <c r="I863" s="8">
        <f>Table4[[#This Row],[Quantity]]*Table4[[#This Row],[Price per Unit]]</f>
        <v>300</v>
      </c>
      <c r="J863">
        <v>300</v>
      </c>
      <c r="K863" s="8" t="str">
        <f>IF(Table4[[#This Row],[Total Amount]]=Table4[[#This Row],[Calculated Total]],"Correct","Check")</f>
        <v>Correct</v>
      </c>
      <c r="L863" s="8"/>
    </row>
    <row r="864" spans="1:12">
      <c r="A864" s="2">
        <v>150</v>
      </c>
      <c r="B864" s="1">
        <v>44932</v>
      </c>
      <c r="C864" t="s">
        <v>163</v>
      </c>
      <c r="D864" t="s">
        <v>13</v>
      </c>
      <c r="E864">
        <v>58</v>
      </c>
      <c r="F864" s="2" t="s">
        <v>16</v>
      </c>
      <c r="G864">
        <v>4</v>
      </c>
      <c r="H864">
        <v>30</v>
      </c>
      <c r="I864" s="8">
        <f>Table4[[#This Row],[Quantity]]*Table4[[#This Row],[Price per Unit]]</f>
        <v>120</v>
      </c>
      <c r="J864">
        <v>120</v>
      </c>
      <c r="K864" s="8" t="str">
        <f>IF(Table4[[#This Row],[Total Amount]]=Table4[[#This Row],[Calculated Total]],"Correct","Check")</f>
        <v>Correct</v>
      </c>
      <c r="L864" s="8"/>
    </row>
    <row r="865" spans="1:12">
      <c r="A865" s="2">
        <v>229</v>
      </c>
      <c r="B865" s="1">
        <v>45228</v>
      </c>
      <c r="C865" t="s">
        <v>242</v>
      </c>
      <c r="D865" t="s">
        <v>10</v>
      </c>
      <c r="E865">
        <v>58</v>
      </c>
      <c r="F865" s="2" t="s">
        <v>11</v>
      </c>
      <c r="G865">
        <v>3</v>
      </c>
      <c r="H865">
        <v>30</v>
      </c>
      <c r="I865" s="8">
        <f>Table4[[#This Row],[Quantity]]*Table4[[#This Row],[Price per Unit]]</f>
        <v>90</v>
      </c>
      <c r="J865">
        <v>90</v>
      </c>
      <c r="K865" s="8" t="str">
        <f>IF(Table4[[#This Row],[Total Amount]]=Table4[[#This Row],[Calculated Total]],"Correct","Check")</f>
        <v>Correct</v>
      </c>
      <c r="L865" s="8"/>
    </row>
    <row r="866" spans="1:12">
      <c r="A866" s="2">
        <v>755</v>
      </c>
      <c r="B866" s="1">
        <v>45038</v>
      </c>
      <c r="C866" t="s">
        <v>768</v>
      </c>
      <c r="D866" t="s">
        <v>13</v>
      </c>
      <c r="E866">
        <v>58</v>
      </c>
      <c r="F866" s="2" t="s">
        <v>14</v>
      </c>
      <c r="G866">
        <v>3</v>
      </c>
      <c r="H866">
        <v>25</v>
      </c>
      <c r="I866" s="8">
        <f>Table4[[#This Row],[Quantity]]*Table4[[#This Row],[Price per Unit]]</f>
        <v>75</v>
      </c>
      <c r="J866">
        <v>75</v>
      </c>
      <c r="K866" s="8" t="str">
        <f>IF(Table4[[#This Row],[Total Amount]]=Table4[[#This Row],[Calculated Total]],"Correct","Check")</f>
        <v>Correct</v>
      </c>
      <c r="L866" s="8"/>
    </row>
    <row r="867" spans="1:12" hidden="1">
      <c r="A867" s="2">
        <v>478</v>
      </c>
      <c r="B867" s="1">
        <v>45029</v>
      </c>
      <c r="C867" t="s">
        <v>491</v>
      </c>
      <c r="D867" t="s">
        <v>13</v>
      </c>
      <c r="E867">
        <v>58</v>
      </c>
      <c r="F867" s="2" t="s">
        <v>14</v>
      </c>
      <c r="G867">
        <v>2</v>
      </c>
      <c r="H867">
        <v>30</v>
      </c>
      <c r="I867" s="8">
        <f>Table4[[#This Row],[Quantity]]*Table4[[#This Row],[Price per Unit]]</f>
        <v>60</v>
      </c>
      <c r="J867">
        <v>60</v>
      </c>
      <c r="K867" s="8" t="str">
        <f>IF(Table4[[#This Row],[Total Amount]]=Table4[[#This Row],[Calculated Total]],"Correct","Check")</f>
        <v>Correct</v>
      </c>
      <c r="L867" s="8"/>
    </row>
    <row r="868" spans="1:12" hidden="1">
      <c r="A868" s="2">
        <v>877</v>
      </c>
      <c r="B868" s="1">
        <v>45096</v>
      </c>
      <c r="C868" t="s">
        <v>890</v>
      </c>
      <c r="D868" t="s">
        <v>13</v>
      </c>
      <c r="E868">
        <v>58</v>
      </c>
      <c r="F868" s="2" t="s">
        <v>14</v>
      </c>
      <c r="G868">
        <v>1</v>
      </c>
      <c r="H868">
        <v>25</v>
      </c>
      <c r="I868" s="8">
        <f>Table4[[#This Row],[Quantity]]*Table4[[#This Row],[Price per Unit]]</f>
        <v>25</v>
      </c>
      <c r="J868">
        <v>25</v>
      </c>
      <c r="K868" s="8" t="str">
        <f>IF(Table4[[#This Row],[Total Amount]]=Table4[[#This Row],[Calculated Total]],"Correct","Check")</f>
        <v>Correct</v>
      </c>
      <c r="L868" s="8"/>
    </row>
    <row r="869" spans="1:12" hidden="1">
      <c r="A869" s="2">
        <v>955</v>
      </c>
      <c r="B869" s="1">
        <v>45121</v>
      </c>
      <c r="C869" t="s">
        <v>968</v>
      </c>
      <c r="D869" t="s">
        <v>10</v>
      </c>
      <c r="E869">
        <v>58</v>
      </c>
      <c r="F869" s="2" t="s">
        <v>14</v>
      </c>
      <c r="G869">
        <v>1</v>
      </c>
      <c r="H869">
        <v>25</v>
      </c>
      <c r="I869" s="8">
        <f>Table4[[#This Row],[Quantity]]*Table4[[#This Row],[Price per Unit]]</f>
        <v>25</v>
      </c>
      <c r="J869">
        <v>25</v>
      </c>
      <c r="K869" s="8" t="str">
        <f>IF(Table4[[#This Row],[Total Amount]]=Table4[[#This Row],[Calculated Total]],"Correct","Check")</f>
        <v>Correct</v>
      </c>
      <c r="L869" s="8"/>
    </row>
    <row r="870" spans="1:12">
      <c r="A870" s="2">
        <v>970</v>
      </c>
      <c r="B870" s="1">
        <v>45062</v>
      </c>
      <c r="C870" t="s">
        <v>983</v>
      </c>
      <c r="D870" t="s">
        <v>10</v>
      </c>
      <c r="E870">
        <v>59</v>
      </c>
      <c r="F870" s="2" t="s">
        <v>16</v>
      </c>
      <c r="G870">
        <v>4</v>
      </c>
      <c r="H870">
        <v>500</v>
      </c>
      <c r="I870" s="8">
        <f>Table4[[#This Row],[Quantity]]*Table4[[#This Row],[Price per Unit]]</f>
        <v>2000</v>
      </c>
      <c r="J870">
        <v>2000</v>
      </c>
      <c r="K870" s="8" t="str">
        <f>IF(Table4[[#This Row],[Total Amount]]=Table4[[#This Row],[Calculated Total]],"Correct","Check")</f>
        <v>Correct</v>
      </c>
      <c r="L870" s="8"/>
    </row>
    <row r="871" spans="1:12">
      <c r="A871" s="2">
        <v>647</v>
      </c>
      <c r="B871" s="1">
        <v>45067</v>
      </c>
      <c r="C871" t="s">
        <v>660</v>
      </c>
      <c r="D871" t="s">
        <v>10</v>
      </c>
      <c r="E871">
        <v>59</v>
      </c>
      <c r="F871" s="2" t="s">
        <v>14</v>
      </c>
      <c r="G871">
        <v>3</v>
      </c>
      <c r="H871">
        <v>500</v>
      </c>
      <c r="I871" s="8">
        <f>Table4[[#This Row],[Quantity]]*Table4[[#This Row],[Price per Unit]]</f>
        <v>1500</v>
      </c>
      <c r="J871">
        <v>1500</v>
      </c>
      <c r="K871" s="8" t="str">
        <f>IF(Table4[[#This Row],[Total Amount]]=Table4[[#This Row],[Calculated Total]],"Correct","Check")</f>
        <v>Correct</v>
      </c>
      <c r="L871" s="8"/>
    </row>
    <row r="872" spans="1:12">
      <c r="A872" s="2">
        <v>144</v>
      </c>
      <c r="B872" s="1">
        <v>45122</v>
      </c>
      <c r="C872" t="s">
        <v>157</v>
      </c>
      <c r="D872" t="s">
        <v>13</v>
      </c>
      <c r="E872">
        <v>59</v>
      </c>
      <c r="F872" s="2" t="s">
        <v>11</v>
      </c>
      <c r="G872">
        <v>3</v>
      </c>
      <c r="H872">
        <v>500</v>
      </c>
      <c r="I872" s="8">
        <f>Table4[[#This Row],[Quantity]]*Table4[[#This Row],[Price per Unit]]</f>
        <v>1500</v>
      </c>
      <c r="J872">
        <v>1500</v>
      </c>
      <c r="K872" s="8" t="str">
        <f>IF(Table4[[#This Row],[Total Amount]]=Table4[[#This Row],[Calculated Total]],"Correct","Check")</f>
        <v>Correct</v>
      </c>
      <c r="L872" s="8"/>
    </row>
    <row r="873" spans="1:12" hidden="1">
      <c r="A873" s="2">
        <v>346</v>
      </c>
      <c r="B873" s="1">
        <v>44968</v>
      </c>
      <c r="C873" t="s">
        <v>359</v>
      </c>
      <c r="D873" t="s">
        <v>10</v>
      </c>
      <c r="E873">
        <v>59</v>
      </c>
      <c r="F873" s="2" t="s">
        <v>14</v>
      </c>
      <c r="G873">
        <v>2</v>
      </c>
      <c r="H873">
        <v>500</v>
      </c>
      <c r="I873" s="8">
        <f>Table4[[#This Row],[Quantity]]*Table4[[#This Row],[Price per Unit]]</f>
        <v>1000</v>
      </c>
      <c r="J873">
        <v>1000</v>
      </c>
      <c r="K873" s="8" t="str">
        <f>IF(Table4[[#This Row],[Total Amount]]=Table4[[#This Row],[Calculated Total]],"Correct","Check")</f>
        <v>Correct</v>
      </c>
      <c r="L873" s="8"/>
    </row>
    <row r="874" spans="1:12" hidden="1">
      <c r="A874" s="2">
        <v>600</v>
      </c>
      <c r="B874" s="1">
        <v>45221</v>
      </c>
      <c r="C874" t="s">
        <v>613</v>
      </c>
      <c r="D874" t="s">
        <v>13</v>
      </c>
      <c r="E874">
        <v>59</v>
      </c>
      <c r="F874" s="2" t="s">
        <v>11</v>
      </c>
      <c r="G874">
        <v>2</v>
      </c>
      <c r="H874">
        <v>500</v>
      </c>
      <c r="I874" s="8">
        <f>Table4[[#This Row],[Quantity]]*Table4[[#This Row],[Price per Unit]]</f>
        <v>1000</v>
      </c>
      <c r="J874">
        <v>1000</v>
      </c>
      <c r="K874" s="8" t="str">
        <f>IF(Table4[[#This Row],[Total Amount]]=Table4[[#This Row],[Calculated Total]],"Correct","Check")</f>
        <v>Correct</v>
      </c>
      <c r="L874" s="8"/>
    </row>
    <row r="875" spans="1:12">
      <c r="A875" s="2">
        <v>782</v>
      </c>
      <c r="B875" s="1">
        <v>45081</v>
      </c>
      <c r="C875" t="s">
        <v>795</v>
      </c>
      <c r="D875" t="s">
        <v>10</v>
      </c>
      <c r="E875">
        <v>59</v>
      </c>
      <c r="F875" s="2" t="s">
        <v>14</v>
      </c>
      <c r="G875">
        <v>3</v>
      </c>
      <c r="H875">
        <v>300</v>
      </c>
      <c r="I875" s="8">
        <f>Table4[[#This Row],[Quantity]]*Table4[[#This Row],[Price per Unit]]</f>
        <v>900</v>
      </c>
      <c r="J875">
        <v>900</v>
      </c>
      <c r="K875" s="8" t="str">
        <f>IF(Table4[[#This Row],[Total Amount]]=Table4[[#This Row],[Calculated Total]],"Correct","Check")</f>
        <v>Correct</v>
      </c>
      <c r="L875" s="8"/>
    </row>
    <row r="876" spans="1:12" hidden="1">
      <c r="A876" s="2">
        <v>914</v>
      </c>
      <c r="B876" s="1">
        <v>45210</v>
      </c>
      <c r="C876" t="s">
        <v>927</v>
      </c>
      <c r="D876" t="s">
        <v>13</v>
      </c>
      <c r="E876">
        <v>59</v>
      </c>
      <c r="F876" s="2" t="s">
        <v>16</v>
      </c>
      <c r="G876">
        <v>1</v>
      </c>
      <c r="H876">
        <v>500</v>
      </c>
      <c r="I876" s="8">
        <f>Table4[[#This Row],[Quantity]]*Table4[[#This Row],[Price per Unit]]</f>
        <v>500</v>
      </c>
      <c r="J876">
        <v>500</v>
      </c>
      <c r="K876" s="8" t="str">
        <f>IF(Table4[[#This Row],[Total Amount]]=Table4[[#This Row],[Calculated Total]],"Correct","Check")</f>
        <v>Correct</v>
      </c>
      <c r="L876" s="8"/>
    </row>
    <row r="877" spans="1:12" hidden="1">
      <c r="A877" s="2">
        <v>814</v>
      </c>
      <c r="B877" s="1">
        <v>45174</v>
      </c>
      <c r="C877" t="s">
        <v>827</v>
      </c>
      <c r="D877" t="s">
        <v>13</v>
      </c>
      <c r="E877">
        <v>59</v>
      </c>
      <c r="F877" s="2" t="s">
        <v>14</v>
      </c>
      <c r="G877">
        <v>1</v>
      </c>
      <c r="H877">
        <v>500</v>
      </c>
      <c r="I877" s="8">
        <f>Table4[[#This Row],[Quantity]]*Table4[[#This Row],[Price per Unit]]</f>
        <v>500</v>
      </c>
      <c r="J877">
        <v>500</v>
      </c>
      <c r="K877" s="8" t="str">
        <f>IF(Table4[[#This Row],[Total Amount]]=Table4[[#This Row],[Calculated Total]],"Correct","Check")</f>
        <v>Correct</v>
      </c>
      <c r="L877" s="8"/>
    </row>
    <row r="878" spans="1:12">
      <c r="A878" s="2">
        <v>810</v>
      </c>
      <c r="B878" s="1">
        <v>45260</v>
      </c>
      <c r="C878" t="s">
        <v>823</v>
      </c>
      <c r="D878" t="s">
        <v>10</v>
      </c>
      <c r="E878">
        <v>59</v>
      </c>
      <c r="F878" s="2" t="s">
        <v>16</v>
      </c>
      <c r="G878">
        <v>4</v>
      </c>
      <c r="H878">
        <v>25</v>
      </c>
      <c r="I878" s="8">
        <f>Table4[[#This Row],[Quantity]]*Table4[[#This Row],[Price per Unit]]</f>
        <v>100</v>
      </c>
      <c r="J878">
        <v>100</v>
      </c>
      <c r="K878" s="8" t="str">
        <f>IF(Table4[[#This Row],[Total Amount]]=Table4[[#This Row],[Calculated Total]],"Correct","Check")</f>
        <v>Correct</v>
      </c>
      <c r="L878" s="8"/>
    </row>
    <row r="879" spans="1:12">
      <c r="A879" s="2">
        <v>887</v>
      </c>
      <c r="B879" s="1">
        <v>45088</v>
      </c>
      <c r="C879" t="s">
        <v>900</v>
      </c>
      <c r="D879" t="s">
        <v>10</v>
      </c>
      <c r="E879">
        <v>59</v>
      </c>
      <c r="F879" s="2" t="s">
        <v>14</v>
      </c>
      <c r="G879">
        <v>4</v>
      </c>
      <c r="H879">
        <v>25</v>
      </c>
      <c r="I879" s="8">
        <f>Table4[[#This Row],[Quantity]]*Table4[[#This Row],[Price per Unit]]</f>
        <v>100</v>
      </c>
      <c r="J879">
        <v>100</v>
      </c>
      <c r="K879" s="8" t="str">
        <f>IF(Table4[[#This Row],[Total Amount]]=Table4[[#This Row],[Calculated Total]],"Correct","Check")</f>
        <v>Correct</v>
      </c>
      <c r="L879" s="8"/>
    </row>
    <row r="880" spans="1:12">
      <c r="A880" s="2">
        <v>374</v>
      </c>
      <c r="B880" s="1">
        <v>45036</v>
      </c>
      <c r="C880" t="s">
        <v>387</v>
      </c>
      <c r="D880" t="s">
        <v>13</v>
      </c>
      <c r="E880">
        <v>59</v>
      </c>
      <c r="F880" s="2" t="s">
        <v>11</v>
      </c>
      <c r="G880">
        <v>3</v>
      </c>
      <c r="H880">
        <v>25</v>
      </c>
      <c r="I880" s="8">
        <f>Table4[[#This Row],[Quantity]]*Table4[[#This Row],[Price per Unit]]</f>
        <v>75</v>
      </c>
      <c r="J880">
        <v>75</v>
      </c>
      <c r="K880" s="8" t="str">
        <f>IF(Table4[[#This Row],[Total Amount]]=Table4[[#This Row],[Calculated Total]],"Correct","Check")</f>
        <v>Correct</v>
      </c>
      <c r="L880" s="8"/>
    </row>
    <row r="881" spans="1:12">
      <c r="A881" s="2">
        <v>718</v>
      </c>
      <c r="B881" s="1">
        <v>45163</v>
      </c>
      <c r="C881" t="s">
        <v>731</v>
      </c>
      <c r="D881" t="s">
        <v>13</v>
      </c>
      <c r="E881">
        <v>59</v>
      </c>
      <c r="F881" s="2" t="s">
        <v>11</v>
      </c>
      <c r="G881">
        <v>3</v>
      </c>
      <c r="H881">
        <v>25</v>
      </c>
      <c r="I881" s="8">
        <f>Table4[[#This Row],[Quantity]]*Table4[[#This Row],[Price per Unit]]</f>
        <v>75</v>
      </c>
      <c r="J881">
        <v>75</v>
      </c>
      <c r="K881" s="8" t="str">
        <f>IF(Table4[[#This Row],[Total Amount]]=Table4[[#This Row],[Calculated Total]],"Correct","Check")</f>
        <v>Correct</v>
      </c>
      <c r="L881" s="8"/>
    </row>
    <row r="882" spans="1:12" hidden="1">
      <c r="A882" s="2">
        <v>228</v>
      </c>
      <c r="B882" s="1">
        <v>45044</v>
      </c>
      <c r="C882" t="s">
        <v>241</v>
      </c>
      <c r="D882" t="s">
        <v>13</v>
      </c>
      <c r="E882">
        <v>59</v>
      </c>
      <c r="F882" s="2" t="s">
        <v>16</v>
      </c>
      <c r="G882">
        <v>2</v>
      </c>
      <c r="H882">
        <v>30</v>
      </c>
      <c r="I882" s="8">
        <f>Table4[[#This Row],[Quantity]]*Table4[[#This Row],[Price per Unit]]</f>
        <v>60</v>
      </c>
      <c r="J882">
        <v>60</v>
      </c>
      <c r="K882" s="8" t="str">
        <f>IF(Table4[[#This Row],[Total Amount]]=Table4[[#This Row],[Calculated Total]],"Correct","Check")</f>
        <v>Correct</v>
      </c>
      <c r="L882" s="8"/>
    </row>
    <row r="883" spans="1:12" hidden="1">
      <c r="A883" s="2">
        <v>960</v>
      </c>
      <c r="B883" s="1">
        <v>45146</v>
      </c>
      <c r="C883" t="s">
        <v>973</v>
      </c>
      <c r="D883" t="s">
        <v>10</v>
      </c>
      <c r="E883">
        <v>59</v>
      </c>
      <c r="F883" s="2" t="s">
        <v>14</v>
      </c>
      <c r="G883">
        <v>2</v>
      </c>
      <c r="H883">
        <v>30</v>
      </c>
      <c r="I883" s="8">
        <f>Table4[[#This Row],[Quantity]]*Table4[[#This Row],[Price per Unit]]</f>
        <v>60</v>
      </c>
      <c r="J883">
        <v>60</v>
      </c>
      <c r="K883" s="8" t="str">
        <f>IF(Table4[[#This Row],[Total Amount]]=Table4[[#This Row],[Calculated Total]],"Correct","Check")</f>
        <v>Correct</v>
      </c>
      <c r="L883" s="8"/>
    </row>
    <row r="884" spans="1:12" hidden="1">
      <c r="A884" s="2">
        <v>450</v>
      </c>
      <c r="B884" s="1">
        <v>45034</v>
      </c>
      <c r="C884" t="s">
        <v>463</v>
      </c>
      <c r="D884" t="s">
        <v>13</v>
      </c>
      <c r="E884">
        <v>59</v>
      </c>
      <c r="F884" s="2" t="s">
        <v>11</v>
      </c>
      <c r="G884">
        <v>2</v>
      </c>
      <c r="H884">
        <v>25</v>
      </c>
      <c r="I884" s="8">
        <f>Table4[[#This Row],[Quantity]]*Table4[[#This Row],[Price per Unit]]</f>
        <v>50</v>
      </c>
      <c r="J884">
        <v>50</v>
      </c>
      <c r="K884" s="8" t="str">
        <f>IF(Table4[[#This Row],[Total Amount]]=Table4[[#This Row],[Calculated Total]],"Correct","Check")</f>
        <v>Correct</v>
      </c>
      <c r="L884" s="8"/>
    </row>
    <row r="885" spans="1:12" hidden="1">
      <c r="A885" s="2">
        <v>103</v>
      </c>
      <c r="B885" s="1">
        <v>44943</v>
      </c>
      <c r="C885" t="s">
        <v>116</v>
      </c>
      <c r="D885" t="s">
        <v>13</v>
      </c>
      <c r="E885">
        <v>59</v>
      </c>
      <c r="F885" s="2" t="s">
        <v>14</v>
      </c>
      <c r="G885">
        <v>1</v>
      </c>
      <c r="H885">
        <v>25</v>
      </c>
      <c r="I885" s="8">
        <f>Table4[[#This Row],[Quantity]]*Table4[[#This Row],[Price per Unit]]</f>
        <v>25</v>
      </c>
      <c r="J885">
        <v>25</v>
      </c>
      <c r="K885" s="8" t="str">
        <f>IF(Table4[[#This Row],[Total Amount]]=Table4[[#This Row],[Calculated Total]],"Correct","Check")</f>
        <v>Correct</v>
      </c>
      <c r="L885" s="8"/>
    </row>
    <row r="886" spans="1:12" hidden="1">
      <c r="A886" s="2">
        <v>658</v>
      </c>
      <c r="B886" s="1">
        <v>44997</v>
      </c>
      <c r="C886" t="s">
        <v>671</v>
      </c>
      <c r="D886" t="s">
        <v>10</v>
      </c>
      <c r="E886">
        <v>59</v>
      </c>
      <c r="F886" s="2" t="s">
        <v>14</v>
      </c>
      <c r="G886">
        <v>1</v>
      </c>
      <c r="H886">
        <v>25</v>
      </c>
      <c r="I886" s="8">
        <f>Table4[[#This Row],[Quantity]]*Table4[[#This Row],[Price per Unit]]</f>
        <v>25</v>
      </c>
      <c r="J886">
        <v>25</v>
      </c>
      <c r="K886" s="8" t="str">
        <f>IF(Table4[[#This Row],[Total Amount]]=Table4[[#This Row],[Calculated Total]],"Correct","Check")</f>
        <v>Correct</v>
      </c>
      <c r="L886" s="8"/>
    </row>
    <row r="887" spans="1:12">
      <c r="A887" s="2">
        <v>634</v>
      </c>
      <c r="B887" s="1">
        <v>45207</v>
      </c>
      <c r="C887" t="s">
        <v>647</v>
      </c>
      <c r="D887" t="s">
        <v>10</v>
      </c>
      <c r="E887">
        <v>60</v>
      </c>
      <c r="F887" s="2" t="s">
        <v>16</v>
      </c>
      <c r="G887">
        <v>4</v>
      </c>
      <c r="H887">
        <v>500</v>
      </c>
      <c r="I887" s="8">
        <f>Table4[[#This Row],[Quantity]]*Table4[[#This Row],[Price per Unit]]</f>
        <v>2000</v>
      </c>
      <c r="J887">
        <v>2000</v>
      </c>
      <c r="K887" s="8" t="str">
        <f>IF(Table4[[#This Row],[Total Amount]]=Table4[[#This Row],[Calculated Total]],"Correct","Check")</f>
        <v>Correct</v>
      </c>
      <c r="L887" s="8"/>
    </row>
    <row r="888" spans="1:12">
      <c r="A888" s="2">
        <v>165</v>
      </c>
      <c r="B888" s="1">
        <v>45183</v>
      </c>
      <c r="C888" t="s">
        <v>178</v>
      </c>
      <c r="D888" t="s">
        <v>13</v>
      </c>
      <c r="E888">
        <v>60</v>
      </c>
      <c r="F888" s="2" t="s">
        <v>14</v>
      </c>
      <c r="G888">
        <v>4</v>
      </c>
      <c r="H888">
        <v>300</v>
      </c>
      <c r="I888" s="8">
        <f>Table4[[#This Row],[Quantity]]*Table4[[#This Row],[Price per Unit]]</f>
        <v>1200</v>
      </c>
      <c r="J888">
        <v>1200</v>
      </c>
      <c r="K888" s="8" t="str">
        <f>IF(Table4[[#This Row],[Total Amount]]=Table4[[#This Row],[Calculated Total]],"Correct","Check")</f>
        <v>Correct</v>
      </c>
      <c r="L888" s="8"/>
    </row>
    <row r="889" spans="1:12">
      <c r="A889" s="2">
        <v>716</v>
      </c>
      <c r="B889" s="1">
        <v>45146</v>
      </c>
      <c r="C889" t="s">
        <v>729</v>
      </c>
      <c r="D889" t="s">
        <v>13</v>
      </c>
      <c r="E889">
        <v>60</v>
      </c>
      <c r="F889" s="2" t="s">
        <v>14</v>
      </c>
      <c r="G889">
        <v>4</v>
      </c>
      <c r="H889">
        <v>300</v>
      </c>
      <c r="I889" s="8">
        <f>Table4[[#This Row],[Quantity]]*Table4[[#This Row],[Price per Unit]]</f>
        <v>1200</v>
      </c>
      <c r="J889">
        <v>1200</v>
      </c>
      <c r="K889" s="8" t="str">
        <f>IF(Table4[[#This Row],[Total Amount]]=Table4[[#This Row],[Calculated Total]],"Correct","Check")</f>
        <v>Correct</v>
      </c>
      <c r="L889" s="8"/>
    </row>
    <row r="890" spans="1:12" hidden="1">
      <c r="A890" s="2">
        <v>418</v>
      </c>
      <c r="B890" s="1">
        <v>45143</v>
      </c>
      <c r="C890" t="s">
        <v>431</v>
      </c>
      <c r="D890" t="s">
        <v>13</v>
      </c>
      <c r="E890">
        <v>60</v>
      </c>
      <c r="F890" s="2" t="s">
        <v>16</v>
      </c>
      <c r="G890">
        <v>2</v>
      </c>
      <c r="H890">
        <v>500</v>
      </c>
      <c r="I890" s="8">
        <f>Table4[[#This Row],[Quantity]]*Table4[[#This Row],[Price per Unit]]</f>
        <v>1000</v>
      </c>
      <c r="J890">
        <v>1000</v>
      </c>
      <c r="K890" s="8" t="str">
        <f>IF(Table4[[#This Row],[Total Amount]]=Table4[[#This Row],[Calculated Total]],"Correct","Check")</f>
        <v>Correct</v>
      </c>
      <c r="L890" s="8"/>
    </row>
    <row r="891" spans="1:12" hidden="1">
      <c r="A891" s="2">
        <v>432</v>
      </c>
      <c r="B891" s="1">
        <v>44931</v>
      </c>
      <c r="C891" t="s">
        <v>445</v>
      </c>
      <c r="D891" t="s">
        <v>13</v>
      </c>
      <c r="E891">
        <v>60</v>
      </c>
      <c r="F891" s="2" t="s">
        <v>16</v>
      </c>
      <c r="G891">
        <v>2</v>
      </c>
      <c r="H891">
        <v>500</v>
      </c>
      <c r="I891" s="8">
        <f>Table4[[#This Row],[Quantity]]*Table4[[#This Row],[Price per Unit]]</f>
        <v>1000</v>
      </c>
      <c r="J891">
        <v>1000</v>
      </c>
      <c r="K891" s="8" t="str">
        <f>IF(Table4[[#This Row],[Total Amount]]=Table4[[#This Row],[Calculated Total]],"Correct","Check")</f>
        <v>Correct</v>
      </c>
      <c r="L891" s="8"/>
    </row>
    <row r="892" spans="1:12" hidden="1">
      <c r="A892" s="2">
        <v>966</v>
      </c>
      <c r="B892" s="1">
        <v>44977</v>
      </c>
      <c r="C892" t="s">
        <v>979</v>
      </c>
      <c r="D892" t="s">
        <v>10</v>
      </c>
      <c r="E892">
        <v>60</v>
      </c>
      <c r="F892" s="2" t="s">
        <v>16</v>
      </c>
      <c r="G892">
        <v>2</v>
      </c>
      <c r="H892">
        <v>500</v>
      </c>
      <c r="I892" s="8">
        <f>Table4[[#This Row],[Quantity]]*Table4[[#This Row],[Price per Unit]]</f>
        <v>1000</v>
      </c>
      <c r="J892">
        <v>1000</v>
      </c>
      <c r="K892" s="8" t="str">
        <f>IF(Table4[[#This Row],[Total Amount]]=Table4[[#This Row],[Calculated Total]],"Correct","Check")</f>
        <v>Correct</v>
      </c>
      <c r="L892" s="8"/>
    </row>
    <row r="893" spans="1:12">
      <c r="A893" s="2">
        <v>491</v>
      </c>
      <c r="B893" s="1">
        <v>45069</v>
      </c>
      <c r="C893" t="s">
        <v>504</v>
      </c>
      <c r="D893" t="s">
        <v>13</v>
      </c>
      <c r="E893">
        <v>60</v>
      </c>
      <c r="F893" s="2" t="s">
        <v>16</v>
      </c>
      <c r="G893">
        <v>3</v>
      </c>
      <c r="H893">
        <v>300</v>
      </c>
      <c r="I893" s="8">
        <f>Table4[[#This Row],[Quantity]]*Table4[[#This Row],[Price per Unit]]</f>
        <v>900</v>
      </c>
      <c r="J893">
        <v>900</v>
      </c>
      <c r="K893" s="8" t="str">
        <f>IF(Table4[[#This Row],[Total Amount]]=Table4[[#This Row],[Calculated Total]],"Correct","Check")</f>
        <v>Correct</v>
      </c>
      <c r="L893" s="8"/>
    </row>
    <row r="894" spans="1:12">
      <c r="A894" s="2">
        <v>678</v>
      </c>
      <c r="B894" s="1">
        <v>45283</v>
      </c>
      <c r="C894" t="s">
        <v>691</v>
      </c>
      <c r="D894" t="s">
        <v>13</v>
      </c>
      <c r="E894">
        <v>60</v>
      </c>
      <c r="F894" s="2" t="s">
        <v>16</v>
      </c>
      <c r="G894">
        <v>3</v>
      </c>
      <c r="H894">
        <v>300</v>
      </c>
      <c r="I894" s="8">
        <f>Table4[[#This Row],[Quantity]]*Table4[[#This Row],[Price per Unit]]</f>
        <v>900</v>
      </c>
      <c r="J894">
        <v>900</v>
      </c>
      <c r="K894" s="8" t="str">
        <f>IF(Table4[[#This Row],[Total Amount]]=Table4[[#This Row],[Calculated Total]],"Correct","Check")</f>
        <v>Correct</v>
      </c>
      <c r="L894" s="8"/>
    </row>
    <row r="895" spans="1:12" hidden="1">
      <c r="A895" s="2">
        <v>291</v>
      </c>
      <c r="B895" s="1">
        <v>44934</v>
      </c>
      <c r="C895" t="s">
        <v>304</v>
      </c>
      <c r="D895" t="s">
        <v>10</v>
      </c>
      <c r="E895">
        <v>60</v>
      </c>
      <c r="F895" s="2" t="s">
        <v>14</v>
      </c>
      <c r="G895">
        <v>2</v>
      </c>
      <c r="H895">
        <v>300</v>
      </c>
      <c r="I895" s="8">
        <f>Table4[[#This Row],[Quantity]]*Table4[[#This Row],[Price per Unit]]</f>
        <v>600</v>
      </c>
      <c r="J895">
        <v>600</v>
      </c>
      <c r="K895" s="8" t="str">
        <f>IF(Table4[[#This Row],[Total Amount]]=Table4[[#This Row],[Calculated Total]],"Correct","Check")</f>
        <v>Correct</v>
      </c>
      <c r="L895" s="8"/>
    </row>
    <row r="896" spans="1:12" hidden="1">
      <c r="A896" s="2">
        <v>702</v>
      </c>
      <c r="B896" s="1">
        <v>45134</v>
      </c>
      <c r="C896" t="s">
        <v>715</v>
      </c>
      <c r="D896" t="s">
        <v>13</v>
      </c>
      <c r="E896">
        <v>60</v>
      </c>
      <c r="F896" s="2" t="s">
        <v>14</v>
      </c>
      <c r="G896">
        <v>2</v>
      </c>
      <c r="H896">
        <v>300</v>
      </c>
      <c r="I896" s="8">
        <f>Table4[[#This Row],[Quantity]]*Table4[[#This Row],[Price per Unit]]</f>
        <v>600</v>
      </c>
      <c r="J896">
        <v>600</v>
      </c>
      <c r="K896" s="8" t="str">
        <f>IF(Table4[[#This Row],[Total Amount]]=Table4[[#This Row],[Calculated Total]],"Correct","Check")</f>
        <v>Correct</v>
      </c>
      <c r="L896" s="8"/>
    </row>
    <row r="897" spans="1:12" hidden="1">
      <c r="A897" s="2">
        <v>794</v>
      </c>
      <c r="B897" s="1">
        <v>45186</v>
      </c>
      <c r="C897" t="s">
        <v>807</v>
      </c>
      <c r="D897" t="s">
        <v>13</v>
      </c>
      <c r="E897">
        <v>60</v>
      </c>
      <c r="F897" s="2" t="s">
        <v>11</v>
      </c>
      <c r="G897">
        <v>1</v>
      </c>
      <c r="H897">
        <v>300</v>
      </c>
      <c r="I897" s="8">
        <f>Table4[[#This Row],[Quantity]]*Table4[[#This Row],[Price per Unit]]</f>
        <v>300</v>
      </c>
      <c r="J897">
        <v>300</v>
      </c>
      <c r="K897" s="8" t="str">
        <f>IF(Table4[[#This Row],[Total Amount]]=Table4[[#This Row],[Calculated Total]],"Correct","Check")</f>
        <v>Correct</v>
      </c>
      <c r="L897" s="8"/>
    </row>
    <row r="898" spans="1:12">
      <c r="A898" s="2">
        <v>119</v>
      </c>
      <c r="B898" s="1">
        <v>44998</v>
      </c>
      <c r="C898" t="s">
        <v>132</v>
      </c>
      <c r="D898" t="s">
        <v>13</v>
      </c>
      <c r="E898">
        <v>60</v>
      </c>
      <c r="F898" s="2" t="s">
        <v>14</v>
      </c>
      <c r="G898">
        <v>3</v>
      </c>
      <c r="H898">
        <v>50</v>
      </c>
      <c r="I898" s="8">
        <f>Table4[[#This Row],[Quantity]]*Table4[[#This Row],[Price per Unit]]</f>
        <v>150</v>
      </c>
      <c r="J898">
        <v>150</v>
      </c>
      <c r="K898" s="8" t="str">
        <f>IF(Table4[[#This Row],[Total Amount]]=Table4[[#This Row],[Calculated Total]],"Correct","Check")</f>
        <v>Correct</v>
      </c>
      <c r="L898" s="8"/>
    </row>
    <row r="899" spans="1:12">
      <c r="A899" s="2">
        <v>957</v>
      </c>
      <c r="B899" s="1">
        <v>45153</v>
      </c>
      <c r="C899" t="s">
        <v>970</v>
      </c>
      <c r="D899" t="s">
        <v>13</v>
      </c>
      <c r="E899">
        <v>60</v>
      </c>
      <c r="F899" s="2" t="s">
        <v>16</v>
      </c>
      <c r="G899">
        <v>4</v>
      </c>
      <c r="H899">
        <v>30</v>
      </c>
      <c r="I899" s="8">
        <f>Table4[[#This Row],[Quantity]]*Table4[[#This Row],[Price per Unit]]</f>
        <v>120</v>
      </c>
      <c r="J899">
        <v>120</v>
      </c>
      <c r="K899" s="8" t="str">
        <f>IF(Table4[[#This Row],[Total Amount]]=Table4[[#This Row],[Calculated Total]],"Correct","Check")</f>
        <v>Correct</v>
      </c>
      <c r="L899" s="8"/>
    </row>
    <row r="900" spans="1:12">
      <c r="A900" s="2">
        <v>500</v>
      </c>
      <c r="B900" s="1">
        <v>44986</v>
      </c>
      <c r="C900" t="s">
        <v>513</v>
      </c>
      <c r="D900" t="s">
        <v>13</v>
      </c>
      <c r="E900">
        <v>60</v>
      </c>
      <c r="F900" s="2" t="s">
        <v>11</v>
      </c>
      <c r="G900">
        <v>4</v>
      </c>
      <c r="H900">
        <v>25</v>
      </c>
      <c r="I900" s="8">
        <f>Table4[[#This Row],[Quantity]]*Table4[[#This Row],[Price per Unit]]</f>
        <v>100</v>
      </c>
      <c r="J900">
        <v>100</v>
      </c>
      <c r="K900" s="8" t="str">
        <f>IF(Table4[[#This Row],[Total Amount]]=Table4[[#This Row],[Calculated Total]],"Correct","Check")</f>
        <v>Correct</v>
      </c>
      <c r="L900" s="8"/>
    </row>
    <row r="901" spans="1:12">
      <c r="A901" s="2">
        <v>442</v>
      </c>
      <c r="B901" s="1">
        <v>45002</v>
      </c>
      <c r="C901" t="s">
        <v>455</v>
      </c>
      <c r="D901" t="s">
        <v>13</v>
      </c>
      <c r="E901">
        <v>60</v>
      </c>
      <c r="F901" s="2" t="s">
        <v>14</v>
      </c>
      <c r="G901">
        <v>4</v>
      </c>
      <c r="H901">
        <v>25</v>
      </c>
      <c r="I901" s="8">
        <f>Table4[[#This Row],[Quantity]]*Table4[[#This Row],[Price per Unit]]</f>
        <v>100</v>
      </c>
      <c r="J901">
        <v>100</v>
      </c>
      <c r="K901" s="8" t="str">
        <f>IF(Table4[[#This Row],[Total Amount]]=Table4[[#This Row],[Calculated Total]],"Correct","Check")</f>
        <v>Correct</v>
      </c>
      <c r="L901" s="8"/>
    </row>
    <row r="902" spans="1:12" hidden="1">
      <c r="A902" s="2">
        <v>575</v>
      </c>
      <c r="B902" s="1">
        <v>45013</v>
      </c>
      <c r="C902" t="s">
        <v>588</v>
      </c>
      <c r="D902" t="s">
        <v>10</v>
      </c>
      <c r="E902">
        <v>60</v>
      </c>
      <c r="F902" s="2" t="s">
        <v>14</v>
      </c>
      <c r="G902">
        <v>2</v>
      </c>
      <c r="H902">
        <v>50</v>
      </c>
      <c r="I902" s="8">
        <f>Table4[[#This Row],[Quantity]]*Table4[[#This Row],[Price per Unit]]</f>
        <v>100</v>
      </c>
      <c r="J902">
        <v>100</v>
      </c>
      <c r="K902" s="8" t="str">
        <f>IF(Table4[[#This Row],[Total Amount]]=Table4[[#This Row],[Calculated Total]],"Correct","Check")</f>
        <v>Correct</v>
      </c>
      <c r="L902" s="8"/>
    </row>
    <row r="903" spans="1:12">
      <c r="A903" s="2">
        <v>190</v>
      </c>
      <c r="B903" s="1">
        <v>45050</v>
      </c>
      <c r="C903" t="s">
        <v>203</v>
      </c>
      <c r="D903" t="s">
        <v>13</v>
      </c>
      <c r="E903">
        <v>60</v>
      </c>
      <c r="F903" s="2" t="s">
        <v>11</v>
      </c>
      <c r="G903">
        <v>3</v>
      </c>
      <c r="H903">
        <v>30</v>
      </c>
      <c r="I903" s="8">
        <f>Table4[[#This Row],[Quantity]]*Table4[[#This Row],[Price per Unit]]</f>
        <v>90</v>
      </c>
      <c r="J903">
        <v>90</v>
      </c>
      <c r="K903" s="8" t="str">
        <f>IF(Table4[[#This Row],[Total Amount]]=Table4[[#This Row],[Calculated Total]],"Correct","Check")</f>
        <v>Correct</v>
      </c>
      <c r="L903" s="8"/>
    </row>
    <row r="904" spans="1:12" hidden="1">
      <c r="A904" s="2">
        <v>120</v>
      </c>
      <c r="B904" s="1">
        <v>45053</v>
      </c>
      <c r="C904" t="s">
        <v>133</v>
      </c>
      <c r="D904" t="s">
        <v>10</v>
      </c>
      <c r="E904">
        <v>60</v>
      </c>
      <c r="F904" s="2" t="s">
        <v>11</v>
      </c>
      <c r="G904">
        <v>1</v>
      </c>
      <c r="H904">
        <v>50</v>
      </c>
      <c r="I904" s="8">
        <f>Table4[[#This Row],[Quantity]]*Table4[[#This Row],[Price per Unit]]</f>
        <v>50</v>
      </c>
      <c r="J904">
        <v>50</v>
      </c>
      <c r="K904" s="8" t="str">
        <f>IF(Table4[[#This Row],[Total Amount]]=Table4[[#This Row],[Calculated Total]],"Correct","Check")</f>
        <v>Correct</v>
      </c>
      <c r="L904" s="8"/>
    </row>
    <row r="905" spans="1:12" hidden="1">
      <c r="A905" s="2">
        <v>705</v>
      </c>
      <c r="B905" s="1">
        <v>44992</v>
      </c>
      <c r="C905" t="s">
        <v>718</v>
      </c>
      <c r="D905" t="s">
        <v>10</v>
      </c>
      <c r="E905">
        <v>60</v>
      </c>
      <c r="F905" s="2" t="s">
        <v>16</v>
      </c>
      <c r="G905">
        <v>2</v>
      </c>
      <c r="H905">
        <v>25</v>
      </c>
      <c r="I905" s="8">
        <f>Table4[[#This Row],[Quantity]]*Table4[[#This Row],[Price per Unit]]</f>
        <v>50</v>
      </c>
      <c r="J905">
        <v>50</v>
      </c>
      <c r="K905" s="8" t="str">
        <f>IF(Table4[[#This Row],[Total Amount]]=Table4[[#This Row],[Calculated Total]],"Correct","Check")</f>
        <v>Correct</v>
      </c>
      <c r="L905" s="8"/>
    </row>
    <row r="906" spans="1:12" hidden="1">
      <c r="A906" s="2">
        <v>857</v>
      </c>
      <c r="B906" s="1">
        <v>45291</v>
      </c>
      <c r="C906" t="s">
        <v>870</v>
      </c>
      <c r="D906" t="s">
        <v>10</v>
      </c>
      <c r="E906">
        <v>60</v>
      </c>
      <c r="F906" s="2" t="s">
        <v>16</v>
      </c>
      <c r="G906">
        <v>2</v>
      </c>
      <c r="H906">
        <v>25</v>
      </c>
      <c r="I906" s="8">
        <f>Table4[[#This Row],[Quantity]]*Table4[[#This Row],[Price per Unit]]</f>
        <v>50</v>
      </c>
      <c r="J906">
        <v>50</v>
      </c>
      <c r="K906" s="8" t="str">
        <f>IF(Table4[[#This Row],[Total Amount]]=Table4[[#This Row],[Calculated Total]],"Correct","Check")</f>
        <v>Correct</v>
      </c>
      <c r="L906" s="8"/>
    </row>
    <row r="907" spans="1:12" hidden="1">
      <c r="A907" s="2">
        <v>973</v>
      </c>
      <c r="B907" s="1">
        <v>45007</v>
      </c>
      <c r="C907" t="s">
        <v>986</v>
      </c>
      <c r="D907" t="s">
        <v>10</v>
      </c>
      <c r="E907">
        <v>60</v>
      </c>
      <c r="F907" s="2" t="s">
        <v>14</v>
      </c>
      <c r="G907">
        <v>1</v>
      </c>
      <c r="H907">
        <v>50</v>
      </c>
      <c r="I907" s="8">
        <f>Table4[[#This Row],[Quantity]]*Table4[[#This Row],[Price per Unit]]</f>
        <v>50</v>
      </c>
      <c r="J907">
        <v>50</v>
      </c>
      <c r="K907" s="8" t="str">
        <f>IF(Table4[[#This Row],[Total Amount]]=Table4[[#This Row],[Calculated Total]],"Correct","Check")</f>
        <v>Correct</v>
      </c>
      <c r="L907" s="8"/>
    </row>
    <row r="908" spans="1:12" hidden="1">
      <c r="A908" s="2">
        <v>874</v>
      </c>
      <c r="B908" s="1">
        <v>45103</v>
      </c>
      <c r="C908" t="s">
        <v>887</v>
      </c>
      <c r="D908" t="s">
        <v>10</v>
      </c>
      <c r="E908">
        <v>60</v>
      </c>
      <c r="F908" s="2" t="s">
        <v>11</v>
      </c>
      <c r="G908">
        <v>1</v>
      </c>
      <c r="H908">
        <v>30</v>
      </c>
      <c r="I908" s="8">
        <f>Table4[[#This Row],[Quantity]]*Table4[[#This Row],[Price per Unit]]</f>
        <v>30</v>
      </c>
      <c r="J908">
        <v>30</v>
      </c>
      <c r="K908" s="8" t="str">
        <f>IF(Table4[[#This Row],[Total Amount]]=Table4[[#This Row],[Calculated Total]],"Correct","Check")</f>
        <v>Correct</v>
      </c>
      <c r="L908" s="8"/>
    </row>
    <row r="909" spans="1:12">
      <c r="A909" s="2">
        <v>789</v>
      </c>
      <c r="B909" s="1">
        <v>45199</v>
      </c>
      <c r="C909" t="s">
        <v>802</v>
      </c>
      <c r="D909" t="s">
        <v>13</v>
      </c>
      <c r="E909">
        <v>61</v>
      </c>
      <c r="F909" s="2" t="s">
        <v>14</v>
      </c>
      <c r="G909">
        <v>4</v>
      </c>
      <c r="H909">
        <v>500</v>
      </c>
      <c r="I909" s="8">
        <f>Table4[[#This Row],[Quantity]]*Table4[[#This Row],[Price per Unit]]</f>
        <v>2000</v>
      </c>
      <c r="J909">
        <v>2000</v>
      </c>
      <c r="K909" s="8" t="str">
        <f>IF(Table4[[#This Row],[Total Amount]]=Table4[[#This Row],[Calculated Total]],"Correct","Check")</f>
        <v>Correct</v>
      </c>
      <c r="L909" s="8"/>
    </row>
    <row r="910" spans="1:12" hidden="1">
      <c r="A910" s="2">
        <v>299</v>
      </c>
      <c r="B910" s="1">
        <v>45132</v>
      </c>
      <c r="C910" t="s">
        <v>312</v>
      </c>
      <c r="D910" t="s">
        <v>10</v>
      </c>
      <c r="E910">
        <v>61</v>
      </c>
      <c r="F910" s="2" t="s">
        <v>16</v>
      </c>
      <c r="G910">
        <v>2</v>
      </c>
      <c r="H910">
        <v>500</v>
      </c>
      <c r="I910" s="8">
        <f>Table4[[#This Row],[Quantity]]*Table4[[#This Row],[Price per Unit]]</f>
        <v>1000</v>
      </c>
      <c r="J910">
        <v>1000</v>
      </c>
      <c r="K910" s="8" t="str">
        <f>IF(Table4[[#This Row],[Total Amount]]=Table4[[#This Row],[Calculated Total]],"Correct","Check")</f>
        <v>Correct</v>
      </c>
      <c r="L910" s="8"/>
    </row>
    <row r="911" spans="1:12" hidden="1">
      <c r="A911" s="2">
        <v>732</v>
      </c>
      <c r="B911" s="1">
        <v>44968</v>
      </c>
      <c r="C911" t="s">
        <v>745</v>
      </c>
      <c r="D911" t="s">
        <v>10</v>
      </c>
      <c r="E911">
        <v>61</v>
      </c>
      <c r="F911" s="2" t="s">
        <v>16</v>
      </c>
      <c r="G911">
        <v>2</v>
      </c>
      <c r="H911">
        <v>500</v>
      </c>
      <c r="I911" s="8">
        <f>Table4[[#This Row],[Quantity]]*Table4[[#This Row],[Price per Unit]]</f>
        <v>1000</v>
      </c>
      <c r="J911">
        <v>1000</v>
      </c>
      <c r="K911" s="8" t="str">
        <f>IF(Table4[[#This Row],[Total Amount]]=Table4[[#This Row],[Calculated Total]],"Correct","Check")</f>
        <v>Correct</v>
      </c>
      <c r="L911" s="8"/>
    </row>
    <row r="912" spans="1:12">
      <c r="A912" s="2">
        <v>827</v>
      </c>
      <c r="B912" s="1">
        <v>45239</v>
      </c>
      <c r="C912" t="s">
        <v>840</v>
      </c>
      <c r="D912" t="s">
        <v>10</v>
      </c>
      <c r="E912">
        <v>61</v>
      </c>
      <c r="F912" s="2" t="s">
        <v>11</v>
      </c>
      <c r="G912">
        <v>3</v>
      </c>
      <c r="H912">
        <v>300</v>
      </c>
      <c r="I912" s="8">
        <f>Table4[[#This Row],[Quantity]]*Table4[[#This Row],[Price per Unit]]</f>
        <v>900</v>
      </c>
      <c r="J912">
        <v>900</v>
      </c>
      <c r="K912" s="8" t="str">
        <f>IF(Table4[[#This Row],[Total Amount]]=Table4[[#This Row],[Calculated Total]],"Correct","Check")</f>
        <v>Correct</v>
      </c>
      <c r="L912" s="8"/>
    </row>
    <row r="913" spans="1:12" hidden="1">
      <c r="A913" s="2">
        <v>612</v>
      </c>
      <c r="B913" s="1">
        <v>45144</v>
      </c>
      <c r="C913" t="s">
        <v>625</v>
      </c>
      <c r="D913" t="s">
        <v>13</v>
      </c>
      <c r="E913">
        <v>61</v>
      </c>
      <c r="F913" s="2" t="s">
        <v>16</v>
      </c>
      <c r="G913">
        <v>1</v>
      </c>
      <c r="H913">
        <v>500</v>
      </c>
      <c r="I913" s="8">
        <f>Table4[[#This Row],[Quantity]]*Table4[[#This Row],[Price per Unit]]</f>
        <v>500</v>
      </c>
      <c r="J913">
        <v>500</v>
      </c>
      <c r="K913" s="8" t="str">
        <f>IF(Table4[[#This Row],[Total Amount]]=Table4[[#This Row],[Calculated Total]],"Correct","Check")</f>
        <v>Correct</v>
      </c>
      <c r="L913" s="8"/>
    </row>
    <row r="914" spans="1:12" hidden="1">
      <c r="A914" s="2">
        <v>725</v>
      </c>
      <c r="B914" s="1">
        <v>45159</v>
      </c>
      <c r="C914" t="s">
        <v>738</v>
      </c>
      <c r="D914" t="s">
        <v>10</v>
      </c>
      <c r="E914">
        <v>61</v>
      </c>
      <c r="F914" s="2" t="s">
        <v>16</v>
      </c>
      <c r="G914">
        <v>1</v>
      </c>
      <c r="H914">
        <v>300</v>
      </c>
      <c r="I914" s="8">
        <f>Table4[[#This Row],[Quantity]]*Table4[[#This Row],[Price per Unit]]</f>
        <v>300</v>
      </c>
      <c r="J914">
        <v>300</v>
      </c>
      <c r="K914" s="8" t="str">
        <f>IF(Table4[[#This Row],[Total Amount]]=Table4[[#This Row],[Calculated Total]],"Correct","Check")</f>
        <v>Correct</v>
      </c>
      <c r="L914" s="8"/>
    </row>
    <row r="915" spans="1:12">
      <c r="A915" s="2">
        <v>75</v>
      </c>
      <c r="B915" s="1">
        <v>45113</v>
      </c>
      <c r="C915" t="s">
        <v>88</v>
      </c>
      <c r="D915" t="s">
        <v>10</v>
      </c>
      <c r="E915">
        <v>61</v>
      </c>
      <c r="F915" s="2" t="s">
        <v>11</v>
      </c>
      <c r="G915">
        <v>4</v>
      </c>
      <c r="H915">
        <v>50</v>
      </c>
      <c r="I915" s="8">
        <f>Table4[[#This Row],[Quantity]]*Table4[[#This Row],[Price per Unit]]</f>
        <v>200</v>
      </c>
      <c r="J915">
        <v>200</v>
      </c>
      <c r="K915" s="8" t="str">
        <f>IF(Table4[[#This Row],[Total Amount]]=Table4[[#This Row],[Calculated Total]],"Correct","Check")</f>
        <v>Correct</v>
      </c>
      <c r="L915" s="8"/>
    </row>
    <row r="916" spans="1:12">
      <c r="A916" s="2">
        <v>724</v>
      </c>
      <c r="B916" s="1">
        <v>45035</v>
      </c>
      <c r="C916" t="s">
        <v>737</v>
      </c>
      <c r="D916" t="s">
        <v>10</v>
      </c>
      <c r="E916">
        <v>61</v>
      </c>
      <c r="F916" s="2" t="s">
        <v>14</v>
      </c>
      <c r="G916">
        <v>3</v>
      </c>
      <c r="H916">
        <v>50</v>
      </c>
      <c r="I916" s="8">
        <f>Table4[[#This Row],[Quantity]]*Table4[[#This Row],[Price per Unit]]</f>
        <v>150</v>
      </c>
      <c r="J916">
        <v>150</v>
      </c>
      <c r="K916" s="8" t="str">
        <f>IF(Table4[[#This Row],[Total Amount]]=Table4[[#This Row],[Calculated Total]],"Correct","Check")</f>
        <v>Correct</v>
      </c>
      <c r="L916" s="8"/>
    </row>
    <row r="917" spans="1:12" hidden="1">
      <c r="A917" s="2">
        <v>272</v>
      </c>
      <c r="B917" s="1">
        <v>44982</v>
      </c>
      <c r="C917" t="s">
        <v>285</v>
      </c>
      <c r="D917" t="s">
        <v>13</v>
      </c>
      <c r="E917">
        <v>61</v>
      </c>
      <c r="F917" s="2" t="s">
        <v>16</v>
      </c>
      <c r="G917">
        <v>2</v>
      </c>
      <c r="H917">
        <v>50</v>
      </c>
      <c r="I917" s="8">
        <f>Table4[[#This Row],[Quantity]]*Table4[[#This Row],[Price per Unit]]</f>
        <v>100</v>
      </c>
      <c r="J917">
        <v>100</v>
      </c>
      <c r="K917" s="8" t="str">
        <f>IF(Table4[[#This Row],[Total Amount]]=Table4[[#This Row],[Calculated Total]],"Correct","Check")</f>
        <v>Correct</v>
      </c>
      <c r="L917" s="8"/>
    </row>
    <row r="918" spans="1:12">
      <c r="A918" s="2">
        <v>492</v>
      </c>
      <c r="B918" s="1">
        <v>45106</v>
      </c>
      <c r="C918" t="s">
        <v>505</v>
      </c>
      <c r="D918" t="s">
        <v>10</v>
      </c>
      <c r="E918">
        <v>61</v>
      </c>
      <c r="F918" s="2" t="s">
        <v>11</v>
      </c>
      <c r="G918">
        <v>4</v>
      </c>
      <c r="H918">
        <v>25</v>
      </c>
      <c r="I918" s="8">
        <f>Table4[[#This Row],[Quantity]]*Table4[[#This Row],[Price per Unit]]</f>
        <v>100</v>
      </c>
      <c r="J918">
        <v>100</v>
      </c>
      <c r="K918" s="8" t="str">
        <f>IF(Table4[[#This Row],[Total Amount]]=Table4[[#This Row],[Calculated Total]],"Correct","Check")</f>
        <v>Correct</v>
      </c>
      <c r="L918" s="8"/>
    </row>
    <row r="919" spans="1:12">
      <c r="A919" s="2">
        <v>615</v>
      </c>
      <c r="B919" s="1">
        <v>45283</v>
      </c>
      <c r="C919" t="s">
        <v>628</v>
      </c>
      <c r="D919" t="s">
        <v>13</v>
      </c>
      <c r="E919">
        <v>61</v>
      </c>
      <c r="F919" s="2" t="s">
        <v>14</v>
      </c>
      <c r="G919">
        <v>4</v>
      </c>
      <c r="H919">
        <v>25</v>
      </c>
      <c r="I919" s="8">
        <f>Table4[[#This Row],[Quantity]]*Table4[[#This Row],[Price per Unit]]</f>
        <v>100</v>
      </c>
      <c r="J919">
        <v>100</v>
      </c>
      <c r="K919" s="8" t="str">
        <f>IF(Table4[[#This Row],[Total Amount]]=Table4[[#This Row],[Calculated Total]],"Correct","Check")</f>
        <v>Correct</v>
      </c>
      <c r="L919" s="8"/>
    </row>
    <row r="920" spans="1:12">
      <c r="A920" s="2">
        <v>829</v>
      </c>
      <c r="B920" s="1">
        <v>45121</v>
      </c>
      <c r="C920" t="s">
        <v>842</v>
      </c>
      <c r="D920" t="s">
        <v>10</v>
      </c>
      <c r="E920">
        <v>61</v>
      </c>
      <c r="F920" s="2" t="s">
        <v>11</v>
      </c>
      <c r="G920">
        <v>3</v>
      </c>
      <c r="H920">
        <v>30</v>
      </c>
      <c r="I920" s="8">
        <f>Table4[[#This Row],[Quantity]]*Table4[[#This Row],[Price per Unit]]</f>
        <v>90</v>
      </c>
      <c r="J920">
        <v>90</v>
      </c>
      <c r="K920" s="8" t="str">
        <f>IF(Table4[[#This Row],[Total Amount]]=Table4[[#This Row],[Calculated Total]],"Correct","Check")</f>
        <v>Correct</v>
      </c>
      <c r="L920" s="8"/>
    </row>
    <row r="921" spans="1:12">
      <c r="A921" s="2">
        <v>444</v>
      </c>
      <c r="B921" s="1">
        <v>44992</v>
      </c>
      <c r="C921" t="s">
        <v>457</v>
      </c>
      <c r="D921" t="s">
        <v>13</v>
      </c>
      <c r="E921">
        <v>61</v>
      </c>
      <c r="F921" s="2" t="s">
        <v>14</v>
      </c>
      <c r="G921">
        <v>3</v>
      </c>
      <c r="H921">
        <v>30</v>
      </c>
      <c r="I921" s="8">
        <f>Table4[[#This Row],[Quantity]]*Table4[[#This Row],[Price per Unit]]</f>
        <v>90</v>
      </c>
      <c r="J921">
        <v>90</v>
      </c>
      <c r="K921" s="8" t="str">
        <f>IF(Table4[[#This Row],[Total Amount]]=Table4[[#This Row],[Calculated Total]],"Correct","Check")</f>
        <v>Correct</v>
      </c>
      <c r="L921" s="8"/>
    </row>
    <row r="922" spans="1:12" hidden="1">
      <c r="A922" s="2">
        <v>811</v>
      </c>
      <c r="B922" s="1">
        <v>45065</v>
      </c>
      <c r="C922" t="s">
        <v>824</v>
      </c>
      <c r="D922" t="s">
        <v>10</v>
      </c>
      <c r="E922">
        <v>61</v>
      </c>
      <c r="F922" s="2" t="s">
        <v>11</v>
      </c>
      <c r="G922">
        <v>2</v>
      </c>
      <c r="H922">
        <v>25</v>
      </c>
      <c r="I922" s="8">
        <f>Table4[[#This Row],[Quantity]]*Table4[[#This Row],[Price per Unit]]</f>
        <v>50</v>
      </c>
      <c r="J922">
        <v>50</v>
      </c>
      <c r="K922" s="8" t="str">
        <f>IF(Table4[[#This Row],[Total Amount]]=Table4[[#This Row],[Calculated Total]],"Correct","Check")</f>
        <v>Correct</v>
      </c>
      <c r="L922" s="8"/>
    </row>
    <row r="923" spans="1:12" hidden="1">
      <c r="A923" s="2">
        <v>226</v>
      </c>
      <c r="B923" s="1">
        <v>45228</v>
      </c>
      <c r="C923" t="s">
        <v>239</v>
      </c>
      <c r="D923" t="s">
        <v>13</v>
      </c>
      <c r="E923">
        <v>61</v>
      </c>
      <c r="F923" s="2" t="s">
        <v>14</v>
      </c>
      <c r="G923">
        <v>1</v>
      </c>
      <c r="H923">
        <v>50</v>
      </c>
      <c r="I923" s="8">
        <f>Table4[[#This Row],[Quantity]]*Table4[[#This Row],[Price per Unit]]</f>
        <v>50</v>
      </c>
      <c r="J923">
        <v>50</v>
      </c>
      <c r="K923" s="8" t="str">
        <f>IF(Table4[[#This Row],[Total Amount]]=Table4[[#This Row],[Calculated Total]],"Correct","Check")</f>
        <v>Correct</v>
      </c>
      <c r="L923" s="8"/>
    </row>
    <row r="924" spans="1:12" hidden="1">
      <c r="A924" s="2">
        <v>798</v>
      </c>
      <c r="B924" s="1">
        <v>45142</v>
      </c>
      <c r="C924" t="s">
        <v>811</v>
      </c>
      <c r="D924" t="s">
        <v>10</v>
      </c>
      <c r="E924">
        <v>61</v>
      </c>
      <c r="F924" s="2" t="s">
        <v>14</v>
      </c>
      <c r="G924">
        <v>1</v>
      </c>
      <c r="H924">
        <v>50</v>
      </c>
      <c r="I924" s="8">
        <f>Table4[[#This Row],[Quantity]]*Table4[[#This Row],[Price per Unit]]</f>
        <v>50</v>
      </c>
      <c r="J924">
        <v>50</v>
      </c>
      <c r="K924" s="8" t="str">
        <f>IF(Table4[[#This Row],[Total Amount]]=Table4[[#This Row],[Calculated Total]],"Correct","Check")</f>
        <v>Correct</v>
      </c>
      <c r="L924" s="8"/>
    </row>
    <row r="925" spans="1:12" hidden="1">
      <c r="A925" s="2">
        <v>206</v>
      </c>
      <c r="B925" s="1">
        <v>45143</v>
      </c>
      <c r="C925" t="s">
        <v>219</v>
      </c>
      <c r="D925" t="s">
        <v>10</v>
      </c>
      <c r="E925">
        <v>61</v>
      </c>
      <c r="F925" s="2" t="s">
        <v>14</v>
      </c>
      <c r="G925">
        <v>1</v>
      </c>
      <c r="H925">
        <v>25</v>
      </c>
      <c r="I925" s="8">
        <f>Table4[[#This Row],[Quantity]]*Table4[[#This Row],[Price per Unit]]</f>
        <v>25</v>
      </c>
      <c r="J925">
        <v>25</v>
      </c>
      <c r="K925" s="8" t="str">
        <f>IF(Table4[[#This Row],[Total Amount]]=Table4[[#This Row],[Calculated Total]],"Correct","Check")</f>
        <v>Correct</v>
      </c>
      <c r="L925" s="8"/>
    </row>
    <row r="926" spans="1:12" hidden="1">
      <c r="A926" s="2">
        <v>318</v>
      </c>
      <c r="B926" s="1">
        <v>45223</v>
      </c>
      <c r="C926" t="s">
        <v>331</v>
      </c>
      <c r="D926" t="s">
        <v>10</v>
      </c>
      <c r="E926">
        <v>61</v>
      </c>
      <c r="F926" s="2" t="s">
        <v>14</v>
      </c>
      <c r="G926">
        <v>1</v>
      </c>
      <c r="H926">
        <v>25</v>
      </c>
      <c r="I926" s="8">
        <f>Table4[[#This Row],[Quantity]]*Table4[[#This Row],[Price per Unit]]</f>
        <v>25</v>
      </c>
      <c r="J926">
        <v>25</v>
      </c>
      <c r="K926" s="8" t="str">
        <f>IF(Table4[[#This Row],[Total Amount]]=Table4[[#This Row],[Calculated Total]],"Correct","Check")</f>
        <v>Correct</v>
      </c>
      <c r="L926" s="8"/>
    </row>
    <row r="927" spans="1:12">
      <c r="A927" s="2">
        <v>157</v>
      </c>
      <c r="B927" s="1">
        <v>45101</v>
      </c>
      <c r="C927" t="s">
        <v>170</v>
      </c>
      <c r="D927" t="s">
        <v>10</v>
      </c>
      <c r="E927">
        <v>62</v>
      </c>
      <c r="F927" s="2" t="s">
        <v>16</v>
      </c>
      <c r="G927">
        <v>4</v>
      </c>
      <c r="H927">
        <v>500</v>
      </c>
      <c r="I927" s="8">
        <f>Table4[[#This Row],[Quantity]]*Table4[[#This Row],[Price per Unit]]</f>
        <v>2000</v>
      </c>
      <c r="J927">
        <v>2000</v>
      </c>
      <c r="K927" s="8" t="str">
        <f>IF(Table4[[#This Row],[Total Amount]]=Table4[[#This Row],[Calculated Total]],"Correct","Check")</f>
        <v>Correct</v>
      </c>
      <c r="L927" s="8"/>
    </row>
    <row r="928" spans="1:12">
      <c r="A928" s="2">
        <v>946</v>
      </c>
      <c r="B928" s="1">
        <v>45054</v>
      </c>
      <c r="C928" t="s">
        <v>959</v>
      </c>
      <c r="D928" t="s">
        <v>10</v>
      </c>
      <c r="E928">
        <v>62</v>
      </c>
      <c r="F928" s="2" t="s">
        <v>16</v>
      </c>
      <c r="G928">
        <v>4</v>
      </c>
      <c r="H928">
        <v>500</v>
      </c>
      <c r="I928" s="8">
        <f>Table4[[#This Row],[Quantity]]*Table4[[#This Row],[Price per Unit]]</f>
        <v>2000</v>
      </c>
      <c r="J928">
        <v>2000</v>
      </c>
      <c r="K928" s="8" t="str">
        <f>IF(Table4[[#This Row],[Total Amount]]=Table4[[#This Row],[Calculated Total]],"Correct","Check")</f>
        <v>Correct</v>
      </c>
      <c r="L928" s="8"/>
    </row>
    <row r="929" spans="1:12">
      <c r="A929" s="2">
        <v>756</v>
      </c>
      <c r="B929" s="1">
        <v>45165</v>
      </c>
      <c r="C929" t="s">
        <v>769</v>
      </c>
      <c r="D929" t="s">
        <v>13</v>
      </c>
      <c r="E929">
        <v>62</v>
      </c>
      <c r="F929" s="2" t="s">
        <v>16</v>
      </c>
      <c r="G929">
        <v>4</v>
      </c>
      <c r="H929">
        <v>300</v>
      </c>
      <c r="I929" s="8">
        <f>Table4[[#This Row],[Quantity]]*Table4[[#This Row],[Price per Unit]]</f>
        <v>1200</v>
      </c>
      <c r="J929">
        <v>1200</v>
      </c>
      <c r="K929" s="8" t="str">
        <f>IF(Table4[[#This Row],[Total Amount]]=Table4[[#This Row],[Calculated Total]],"Correct","Check")</f>
        <v>Correct</v>
      </c>
      <c r="L929" s="8"/>
    </row>
    <row r="930" spans="1:12" hidden="1">
      <c r="A930" s="2">
        <v>937</v>
      </c>
      <c r="B930" s="1">
        <v>45222</v>
      </c>
      <c r="C930" t="s">
        <v>950</v>
      </c>
      <c r="D930" t="s">
        <v>13</v>
      </c>
      <c r="E930">
        <v>62</v>
      </c>
      <c r="F930" s="2" t="s">
        <v>11</v>
      </c>
      <c r="G930">
        <v>1</v>
      </c>
      <c r="H930">
        <v>500</v>
      </c>
      <c r="I930" s="8">
        <f>Table4[[#This Row],[Quantity]]*Table4[[#This Row],[Price per Unit]]</f>
        <v>500</v>
      </c>
      <c r="J930">
        <v>500</v>
      </c>
      <c r="K930" s="8" t="str">
        <f>IF(Table4[[#This Row],[Total Amount]]=Table4[[#This Row],[Calculated Total]],"Correct","Check")</f>
        <v>Correct</v>
      </c>
      <c r="L930" s="8"/>
    </row>
    <row r="931" spans="1:12" hidden="1">
      <c r="A931" s="2">
        <v>401</v>
      </c>
      <c r="B931" s="1">
        <v>45210</v>
      </c>
      <c r="C931" t="s">
        <v>414</v>
      </c>
      <c r="D931" t="s">
        <v>13</v>
      </c>
      <c r="E931">
        <v>62</v>
      </c>
      <c r="F931" s="2" t="s">
        <v>14</v>
      </c>
      <c r="G931">
        <v>1</v>
      </c>
      <c r="H931">
        <v>300</v>
      </c>
      <c r="I931" s="8">
        <f>Table4[[#This Row],[Quantity]]*Table4[[#This Row],[Price per Unit]]</f>
        <v>300</v>
      </c>
      <c r="J931">
        <v>300</v>
      </c>
      <c r="K931" s="8" t="str">
        <f>IF(Table4[[#This Row],[Total Amount]]=Table4[[#This Row],[Calculated Total]],"Correct","Check")</f>
        <v>Correct</v>
      </c>
      <c r="L931" s="8"/>
    </row>
    <row r="932" spans="1:12" hidden="1">
      <c r="A932" s="2">
        <v>523</v>
      </c>
      <c r="B932" s="1">
        <v>45193</v>
      </c>
      <c r="C932" t="s">
        <v>536</v>
      </c>
      <c r="D932" t="s">
        <v>13</v>
      </c>
      <c r="E932">
        <v>62</v>
      </c>
      <c r="F932" s="2" t="s">
        <v>16</v>
      </c>
      <c r="G932">
        <v>1</v>
      </c>
      <c r="H932">
        <v>300</v>
      </c>
      <c r="I932" s="8">
        <f>Table4[[#This Row],[Quantity]]*Table4[[#This Row],[Price per Unit]]</f>
        <v>300</v>
      </c>
      <c r="J932">
        <v>300</v>
      </c>
      <c r="K932" s="8" t="str">
        <f>IF(Table4[[#This Row],[Total Amount]]=Table4[[#This Row],[Calculated Total]],"Correct","Check")</f>
        <v>Correct</v>
      </c>
      <c r="L932" s="8"/>
    </row>
    <row r="933" spans="1:12">
      <c r="A933" s="2">
        <v>411</v>
      </c>
      <c r="B933" s="1">
        <v>45062</v>
      </c>
      <c r="C933" t="s">
        <v>424</v>
      </c>
      <c r="D933" t="s">
        <v>10</v>
      </c>
      <c r="E933">
        <v>62</v>
      </c>
      <c r="F933" s="2" t="s">
        <v>16</v>
      </c>
      <c r="G933">
        <v>4</v>
      </c>
      <c r="H933">
        <v>50</v>
      </c>
      <c r="I933" s="8">
        <f>Table4[[#This Row],[Quantity]]*Table4[[#This Row],[Price per Unit]]</f>
        <v>200</v>
      </c>
      <c r="J933">
        <v>200</v>
      </c>
      <c r="K933" s="8" t="str">
        <f>IF(Table4[[#This Row],[Total Amount]]=Table4[[#This Row],[Calculated Total]],"Correct","Check")</f>
        <v>Correct</v>
      </c>
      <c r="L933" s="8"/>
    </row>
    <row r="934" spans="1:12">
      <c r="A934" s="2">
        <v>639</v>
      </c>
      <c r="B934" s="1">
        <v>45059</v>
      </c>
      <c r="C934" t="s">
        <v>652</v>
      </c>
      <c r="D934" t="s">
        <v>13</v>
      </c>
      <c r="E934">
        <v>62</v>
      </c>
      <c r="F934" s="2" t="s">
        <v>11</v>
      </c>
      <c r="G934">
        <v>4</v>
      </c>
      <c r="H934">
        <v>50</v>
      </c>
      <c r="I934" s="8">
        <f>Table4[[#This Row],[Quantity]]*Table4[[#This Row],[Price per Unit]]</f>
        <v>200</v>
      </c>
      <c r="J934">
        <v>200</v>
      </c>
      <c r="K934" s="8" t="str">
        <f>IF(Table4[[#This Row],[Total Amount]]=Table4[[#This Row],[Calculated Total]],"Correct","Check")</f>
        <v>Correct</v>
      </c>
      <c r="L934" s="8"/>
    </row>
    <row r="935" spans="1:12">
      <c r="A935" s="2">
        <v>668</v>
      </c>
      <c r="B935" s="1">
        <v>45135</v>
      </c>
      <c r="C935" t="s">
        <v>681</v>
      </c>
      <c r="D935" t="s">
        <v>13</v>
      </c>
      <c r="E935">
        <v>62</v>
      </c>
      <c r="F935" s="2" t="s">
        <v>16</v>
      </c>
      <c r="G935">
        <v>3</v>
      </c>
      <c r="H935">
        <v>50</v>
      </c>
      <c r="I935" s="8">
        <f>Table4[[#This Row],[Quantity]]*Table4[[#This Row],[Price per Unit]]</f>
        <v>150</v>
      </c>
      <c r="J935">
        <v>150</v>
      </c>
      <c r="K935" s="8" t="str">
        <f>IF(Table4[[#This Row],[Total Amount]]=Table4[[#This Row],[Calculated Total]],"Correct","Check")</f>
        <v>Correct</v>
      </c>
      <c r="L935" s="8"/>
    </row>
    <row r="936" spans="1:12">
      <c r="A936" s="2">
        <v>671</v>
      </c>
      <c r="B936" s="1">
        <v>45165</v>
      </c>
      <c r="C936" t="s">
        <v>684</v>
      </c>
      <c r="D936" t="s">
        <v>10</v>
      </c>
      <c r="E936">
        <v>62</v>
      </c>
      <c r="F936" s="2" t="s">
        <v>16</v>
      </c>
      <c r="G936">
        <v>3</v>
      </c>
      <c r="H936">
        <v>50</v>
      </c>
      <c r="I936" s="8">
        <f>Table4[[#This Row],[Quantity]]*Table4[[#This Row],[Price per Unit]]</f>
        <v>150</v>
      </c>
      <c r="J936">
        <v>150</v>
      </c>
      <c r="K936" s="8" t="str">
        <f>IF(Table4[[#This Row],[Total Amount]]=Table4[[#This Row],[Calculated Total]],"Correct","Check")</f>
        <v>Correct</v>
      </c>
      <c r="L936" s="8"/>
    </row>
    <row r="937" spans="1:12">
      <c r="A937" s="2">
        <v>182</v>
      </c>
      <c r="B937" s="1">
        <v>45092</v>
      </c>
      <c r="C937" t="s">
        <v>195</v>
      </c>
      <c r="D937" t="s">
        <v>10</v>
      </c>
      <c r="E937">
        <v>62</v>
      </c>
      <c r="F937" s="2" t="s">
        <v>11</v>
      </c>
      <c r="G937">
        <v>4</v>
      </c>
      <c r="H937">
        <v>30</v>
      </c>
      <c r="I937" s="8">
        <f>Table4[[#This Row],[Quantity]]*Table4[[#This Row],[Price per Unit]]</f>
        <v>120</v>
      </c>
      <c r="J937">
        <v>120</v>
      </c>
      <c r="K937" s="8" t="str">
        <f>IF(Table4[[#This Row],[Total Amount]]=Table4[[#This Row],[Calculated Total]],"Correct","Check")</f>
        <v>Correct</v>
      </c>
      <c r="L937" s="8"/>
    </row>
    <row r="938" spans="1:12">
      <c r="A938" s="2">
        <v>271</v>
      </c>
      <c r="B938" s="1">
        <v>45100</v>
      </c>
      <c r="C938" t="s">
        <v>284</v>
      </c>
      <c r="D938" t="s">
        <v>13</v>
      </c>
      <c r="E938">
        <v>62</v>
      </c>
      <c r="F938" s="2" t="s">
        <v>11</v>
      </c>
      <c r="G938">
        <v>4</v>
      </c>
      <c r="H938">
        <v>30</v>
      </c>
      <c r="I938" s="8">
        <f>Table4[[#This Row],[Quantity]]*Table4[[#This Row],[Price per Unit]]</f>
        <v>120</v>
      </c>
      <c r="J938">
        <v>120</v>
      </c>
      <c r="K938" s="8" t="str">
        <f>IF(Table4[[#This Row],[Total Amount]]=Table4[[#This Row],[Calculated Total]],"Correct","Check")</f>
        <v>Correct</v>
      </c>
      <c r="L938" s="8"/>
    </row>
    <row r="939" spans="1:12" hidden="1">
      <c r="A939" s="2">
        <v>192</v>
      </c>
      <c r="B939" s="1">
        <v>44967</v>
      </c>
      <c r="C939" t="s">
        <v>205</v>
      </c>
      <c r="D939" t="s">
        <v>10</v>
      </c>
      <c r="E939">
        <v>62</v>
      </c>
      <c r="F939" s="2" t="s">
        <v>11</v>
      </c>
      <c r="G939">
        <v>2</v>
      </c>
      <c r="H939">
        <v>50</v>
      </c>
      <c r="I939" s="8">
        <f>Table4[[#This Row],[Quantity]]*Table4[[#This Row],[Price per Unit]]</f>
        <v>100</v>
      </c>
      <c r="J939">
        <v>100</v>
      </c>
      <c r="K939" s="8" t="str">
        <f>IF(Table4[[#This Row],[Total Amount]]=Table4[[#This Row],[Calculated Total]],"Correct","Check")</f>
        <v>Correct</v>
      </c>
      <c r="L939" s="8"/>
    </row>
    <row r="940" spans="1:12" hidden="1">
      <c r="A940" s="2">
        <v>216</v>
      </c>
      <c r="B940" s="1">
        <v>45118</v>
      </c>
      <c r="C940" t="s">
        <v>229</v>
      </c>
      <c r="D940" t="s">
        <v>10</v>
      </c>
      <c r="E940">
        <v>62</v>
      </c>
      <c r="F940" s="2" t="s">
        <v>16</v>
      </c>
      <c r="G940">
        <v>2</v>
      </c>
      <c r="H940">
        <v>50</v>
      </c>
      <c r="I940" s="8">
        <f>Table4[[#This Row],[Quantity]]*Table4[[#This Row],[Price per Unit]]</f>
        <v>100</v>
      </c>
      <c r="J940">
        <v>100</v>
      </c>
      <c r="K940" s="8" t="str">
        <f>IF(Table4[[#This Row],[Total Amount]]=Table4[[#This Row],[Calculated Total]],"Correct","Check")</f>
        <v>Correct</v>
      </c>
      <c r="L940" s="8"/>
    </row>
    <row r="941" spans="1:12" hidden="1">
      <c r="A941" s="2">
        <v>809</v>
      </c>
      <c r="B941" s="1">
        <v>45194</v>
      </c>
      <c r="C941" t="s">
        <v>822</v>
      </c>
      <c r="D941" t="s">
        <v>13</v>
      </c>
      <c r="E941">
        <v>62</v>
      </c>
      <c r="F941" s="2" t="s">
        <v>11</v>
      </c>
      <c r="G941">
        <v>2</v>
      </c>
      <c r="H941">
        <v>50</v>
      </c>
      <c r="I941" s="8">
        <f>Table4[[#This Row],[Quantity]]*Table4[[#This Row],[Price per Unit]]</f>
        <v>100</v>
      </c>
      <c r="J941">
        <v>100</v>
      </c>
      <c r="K941" s="8" t="str">
        <f>IF(Table4[[#This Row],[Total Amount]]=Table4[[#This Row],[Calculated Total]],"Correct","Check")</f>
        <v>Correct</v>
      </c>
      <c r="L941" s="8"/>
    </row>
    <row r="942" spans="1:12">
      <c r="A942" s="2">
        <v>704</v>
      </c>
      <c r="B942" s="1">
        <v>45166</v>
      </c>
      <c r="C942" t="s">
        <v>717</v>
      </c>
      <c r="D942" t="s">
        <v>13</v>
      </c>
      <c r="E942">
        <v>62</v>
      </c>
      <c r="F942" s="2" t="s">
        <v>14</v>
      </c>
      <c r="G942">
        <v>3</v>
      </c>
      <c r="H942">
        <v>30</v>
      </c>
      <c r="I942" s="8">
        <f>Table4[[#This Row],[Quantity]]*Table4[[#This Row],[Price per Unit]]</f>
        <v>90</v>
      </c>
      <c r="J942">
        <v>90</v>
      </c>
      <c r="K942" s="8" t="str">
        <f>IF(Table4[[#This Row],[Total Amount]]=Table4[[#This Row],[Calculated Total]],"Correct","Check")</f>
        <v>Correct</v>
      </c>
      <c r="L942" s="8"/>
    </row>
    <row r="943" spans="1:12" hidden="1">
      <c r="A943" s="2">
        <v>871</v>
      </c>
      <c r="B943" s="1">
        <v>45169</v>
      </c>
      <c r="C943" t="s">
        <v>884</v>
      </c>
      <c r="D943" t="s">
        <v>10</v>
      </c>
      <c r="E943">
        <v>62</v>
      </c>
      <c r="F943" s="2" t="s">
        <v>11</v>
      </c>
      <c r="G943">
        <v>2</v>
      </c>
      <c r="H943">
        <v>30</v>
      </c>
      <c r="I943" s="8">
        <f>Table4[[#This Row],[Quantity]]*Table4[[#This Row],[Price per Unit]]</f>
        <v>60</v>
      </c>
      <c r="J943">
        <v>60</v>
      </c>
      <c r="K943" s="8" t="str">
        <f>IF(Table4[[#This Row],[Total Amount]]=Table4[[#This Row],[Calculated Total]],"Correct","Check")</f>
        <v>Correct</v>
      </c>
      <c r="L943" s="8"/>
    </row>
    <row r="944" spans="1:12" hidden="1">
      <c r="A944" s="2">
        <v>19</v>
      </c>
      <c r="B944" s="1">
        <v>45185</v>
      </c>
      <c r="C944" t="s">
        <v>32</v>
      </c>
      <c r="D944" t="s">
        <v>13</v>
      </c>
      <c r="E944">
        <v>62</v>
      </c>
      <c r="F944" s="2" t="s">
        <v>14</v>
      </c>
      <c r="G944">
        <v>2</v>
      </c>
      <c r="H944">
        <v>25</v>
      </c>
      <c r="I944" s="8">
        <f>Table4[[#This Row],[Quantity]]*Table4[[#This Row],[Price per Unit]]</f>
        <v>50</v>
      </c>
      <c r="J944">
        <v>50</v>
      </c>
      <c r="K944" s="8" t="str">
        <f>IF(Table4[[#This Row],[Total Amount]]=Table4[[#This Row],[Calculated Total]],"Correct","Check")</f>
        <v>Correct</v>
      </c>
      <c r="L944" s="8"/>
    </row>
    <row r="945" spans="1:12" hidden="1">
      <c r="A945" s="2">
        <v>59</v>
      </c>
      <c r="B945" s="1">
        <v>45112</v>
      </c>
      <c r="C945" t="s">
        <v>72</v>
      </c>
      <c r="D945" t="s">
        <v>10</v>
      </c>
      <c r="E945">
        <v>62</v>
      </c>
      <c r="F945" s="2" t="s">
        <v>14</v>
      </c>
      <c r="G945">
        <v>1</v>
      </c>
      <c r="H945">
        <v>50</v>
      </c>
      <c r="I945" s="8">
        <f>Table4[[#This Row],[Quantity]]*Table4[[#This Row],[Price per Unit]]</f>
        <v>50</v>
      </c>
      <c r="J945">
        <v>50</v>
      </c>
      <c r="K945" s="8" t="str">
        <f>IF(Table4[[#This Row],[Total Amount]]=Table4[[#This Row],[Calculated Total]],"Correct","Check")</f>
        <v>Correct</v>
      </c>
      <c r="L945" s="8"/>
    </row>
    <row r="946" spans="1:12" hidden="1">
      <c r="A946" s="2">
        <v>234</v>
      </c>
      <c r="B946" s="1">
        <v>45250</v>
      </c>
      <c r="C946" t="s">
        <v>247</v>
      </c>
      <c r="D946" t="s">
        <v>13</v>
      </c>
      <c r="E946">
        <v>62</v>
      </c>
      <c r="F946" s="2" t="s">
        <v>16</v>
      </c>
      <c r="G946">
        <v>2</v>
      </c>
      <c r="H946">
        <v>25</v>
      </c>
      <c r="I946" s="8">
        <f>Table4[[#This Row],[Quantity]]*Table4[[#This Row],[Price per Unit]]</f>
        <v>50</v>
      </c>
      <c r="J946">
        <v>50</v>
      </c>
      <c r="K946" s="8" t="str">
        <f>IF(Table4[[#This Row],[Total Amount]]=Table4[[#This Row],[Calculated Total]],"Correct","Check")</f>
        <v>Correct</v>
      </c>
      <c r="L946" s="8"/>
    </row>
    <row r="947" spans="1:12" hidden="1">
      <c r="A947" s="2">
        <v>629</v>
      </c>
      <c r="B947" s="1">
        <v>45089</v>
      </c>
      <c r="C947" t="s">
        <v>642</v>
      </c>
      <c r="D947" t="s">
        <v>10</v>
      </c>
      <c r="E947">
        <v>62</v>
      </c>
      <c r="F947" s="2" t="s">
        <v>16</v>
      </c>
      <c r="G947">
        <v>2</v>
      </c>
      <c r="H947">
        <v>25</v>
      </c>
      <c r="I947" s="8">
        <f>Table4[[#This Row],[Quantity]]*Table4[[#This Row],[Price per Unit]]</f>
        <v>50</v>
      </c>
      <c r="J947">
        <v>50</v>
      </c>
      <c r="K947" s="8" t="str">
        <f>IF(Table4[[#This Row],[Total Amount]]=Table4[[#This Row],[Calculated Total]],"Correct","Check")</f>
        <v>Correct</v>
      </c>
      <c r="L947" s="8"/>
    </row>
    <row r="948" spans="1:12" hidden="1">
      <c r="A948" s="2">
        <v>958</v>
      </c>
      <c r="B948" s="1">
        <v>45079</v>
      </c>
      <c r="C948" t="s">
        <v>971</v>
      </c>
      <c r="D948" t="s">
        <v>10</v>
      </c>
      <c r="E948">
        <v>62</v>
      </c>
      <c r="F948" s="2" t="s">
        <v>16</v>
      </c>
      <c r="G948">
        <v>2</v>
      </c>
      <c r="H948">
        <v>25</v>
      </c>
      <c r="I948" s="8">
        <f>Table4[[#This Row],[Quantity]]*Table4[[#This Row],[Price per Unit]]</f>
        <v>50</v>
      </c>
      <c r="J948">
        <v>50</v>
      </c>
      <c r="K948" s="8" t="str">
        <f>IF(Table4[[#This Row],[Total Amount]]=Table4[[#This Row],[Calculated Total]],"Correct","Check")</f>
        <v>Correct</v>
      </c>
      <c r="L948" s="8"/>
    </row>
    <row r="949" spans="1:12" hidden="1">
      <c r="A949" s="2">
        <v>840</v>
      </c>
      <c r="B949" s="1">
        <v>45070</v>
      </c>
      <c r="C949" t="s">
        <v>853</v>
      </c>
      <c r="D949" t="s">
        <v>10</v>
      </c>
      <c r="E949">
        <v>62</v>
      </c>
      <c r="F949" s="2" t="s">
        <v>14</v>
      </c>
      <c r="G949">
        <v>2</v>
      </c>
      <c r="H949">
        <v>25</v>
      </c>
      <c r="I949" s="8">
        <f>Table4[[#This Row],[Quantity]]*Table4[[#This Row],[Price per Unit]]</f>
        <v>50</v>
      </c>
      <c r="J949">
        <v>50</v>
      </c>
      <c r="K949" s="8" t="str">
        <f>IF(Table4[[#This Row],[Total Amount]]=Table4[[#This Row],[Calculated Total]],"Correct","Check")</f>
        <v>Correct</v>
      </c>
      <c r="L949" s="8"/>
    </row>
    <row r="950" spans="1:12" hidden="1">
      <c r="A950" s="2">
        <v>996</v>
      </c>
      <c r="B950" s="1">
        <v>45062</v>
      </c>
      <c r="C950" t="s">
        <v>1009</v>
      </c>
      <c r="D950" t="s">
        <v>10</v>
      </c>
      <c r="E950">
        <v>62</v>
      </c>
      <c r="F950" s="2" t="s">
        <v>14</v>
      </c>
      <c r="G950">
        <v>1</v>
      </c>
      <c r="H950">
        <v>50</v>
      </c>
      <c r="I950" s="8">
        <f>Table4[[#This Row],[Quantity]]*Table4[[#This Row],[Price per Unit]]</f>
        <v>50</v>
      </c>
      <c r="J950">
        <v>50</v>
      </c>
      <c r="K950" s="8" t="str">
        <f>IF(Table4[[#This Row],[Total Amount]]=Table4[[#This Row],[Calculated Total]],"Correct","Check")</f>
        <v>Correct</v>
      </c>
      <c r="L950" s="8"/>
    </row>
    <row r="951" spans="1:12" hidden="1">
      <c r="A951" s="2">
        <v>345</v>
      </c>
      <c r="B951" s="1">
        <v>45244</v>
      </c>
      <c r="C951" t="s">
        <v>358</v>
      </c>
      <c r="D951" t="s">
        <v>10</v>
      </c>
      <c r="E951">
        <v>62</v>
      </c>
      <c r="F951" s="2" t="s">
        <v>16</v>
      </c>
      <c r="G951">
        <v>1</v>
      </c>
      <c r="H951">
        <v>30</v>
      </c>
      <c r="I951" s="8">
        <f>Table4[[#This Row],[Quantity]]*Table4[[#This Row],[Price per Unit]]</f>
        <v>30</v>
      </c>
      <c r="J951">
        <v>30</v>
      </c>
      <c r="K951" s="8" t="str">
        <f>IF(Table4[[#This Row],[Total Amount]]=Table4[[#This Row],[Calculated Total]],"Correct","Check")</f>
        <v>Correct</v>
      </c>
      <c r="L951" s="8"/>
    </row>
    <row r="952" spans="1:12" hidden="1">
      <c r="A952" s="2">
        <v>967</v>
      </c>
      <c r="B952" s="1">
        <v>45033</v>
      </c>
      <c r="C952" t="s">
        <v>980</v>
      </c>
      <c r="D952" t="s">
        <v>10</v>
      </c>
      <c r="E952">
        <v>62</v>
      </c>
      <c r="F952" s="2" t="s">
        <v>11</v>
      </c>
      <c r="G952">
        <v>1</v>
      </c>
      <c r="H952">
        <v>25</v>
      </c>
      <c r="I952" s="8">
        <f>Table4[[#This Row],[Quantity]]*Table4[[#This Row],[Price per Unit]]</f>
        <v>25</v>
      </c>
      <c r="J952">
        <v>25</v>
      </c>
      <c r="K952" s="8" t="str">
        <f>IF(Table4[[#This Row],[Total Amount]]=Table4[[#This Row],[Calculated Total]],"Correct","Check")</f>
        <v>Correct</v>
      </c>
      <c r="L952" s="8"/>
    </row>
    <row r="953" spans="1:12" hidden="1">
      <c r="A953" s="2">
        <v>790</v>
      </c>
      <c r="B953" s="1">
        <v>45146</v>
      </c>
      <c r="C953" t="s">
        <v>803</v>
      </c>
      <c r="D953" t="s">
        <v>10</v>
      </c>
      <c r="E953">
        <v>62</v>
      </c>
      <c r="F953" s="2" t="s">
        <v>14</v>
      </c>
      <c r="G953">
        <v>1</v>
      </c>
      <c r="H953">
        <v>25</v>
      </c>
      <c r="I953" s="8">
        <f>Table4[[#This Row],[Quantity]]*Table4[[#This Row],[Price per Unit]]</f>
        <v>25</v>
      </c>
      <c r="J953">
        <v>25</v>
      </c>
      <c r="K953" s="8" t="str">
        <f>IF(Table4[[#This Row],[Total Amount]]=Table4[[#This Row],[Calculated Total]],"Correct","Check")</f>
        <v>Correct</v>
      </c>
      <c r="L953" s="8"/>
    </row>
    <row r="954" spans="1:12">
      <c r="A954" s="2">
        <v>547</v>
      </c>
      <c r="B954" s="1">
        <v>44992</v>
      </c>
      <c r="C954" t="s">
        <v>560</v>
      </c>
      <c r="D954" t="s">
        <v>10</v>
      </c>
      <c r="E954">
        <v>63</v>
      </c>
      <c r="F954" s="2" t="s">
        <v>14</v>
      </c>
      <c r="G954">
        <v>4</v>
      </c>
      <c r="H954">
        <v>500</v>
      </c>
      <c r="I954" s="8">
        <f>Table4[[#This Row],[Quantity]]*Table4[[#This Row],[Price per Unit]]</f>
        <v>2000</v>
      </c>
      <c r="J954">
        <v>2000</v>
      </c>
      <c r="K954" s="8" t="str">
        <f>IF(Table4[[#This Row],[Total Amount]]=Table4[[#This Row],[Calculated Total]],"Correct","Check")</f>
        <v>Correct</v>
      </c>
      <c r="L954" s="8"/>
    </row>
    <row r="955" spans="1:12">
      <c r="A955" s="2">
        <v>676</v>
      </c>
      <c r="B955" s="1">
        <v>45126</v>
      </c>
      <c r="C955" t="s">
        <v>689</v>
      </c>
      <c r="D955" t="s">
        <v>10</v>
      </c>
      <c r="E955">
        <v>63</v>
      </c>
      <c r="F955" s="2" t="s">
        <v>16</v>
      </c>
      <c r="G955">
        <v>3</v>
      </c>
      <c r="H955">
        <v>500</v>
      </c>
      <c r="I955" s="8">
        <f>Table4[[#This Row],[Quantity]]*Table4[[#This Row],[Price per Unit]]</f>
        <v>1500</v>
      </c>
      <c r="J955">
        <v>1500</v>
      </c>
      <c r="K955" s="8" t="str">
        <f>IF(Table4[[#This Row],[Total Amount]]=Table4[[#This Row],[Calculated Total]],"Correct","Check")</f>
        <v>Correct</v>
      </c>
      <c r="L955" s="8"/>
    </row>
    <row r="956" spans="1:12">
      <c r="A956" s="2">
        <v>431</v>
      </c>
      <c r="B956" s="1">
        <v>45214</v>
      </c>
      <c r="C956" t="s">
        <v>444</v>
      </c>
      <c r="D956" t="s">
        <v>10</v>
      </c>
      <c r="E956">
        <v>63</v>
      </c>
      <c r="F956" s="2" t="s">
        <v>16</v>
      </c>
      <c r="G956">
        <v>4</v>
      </c>
      <c r="H956">
        <v>300</v>
      </c>
      <c r="I956" s="8">
        <f>Table4[[#This Row],[Quantity]]*Table4[[#This Row],[Price per Unit]]</f>
        <v>1200</v>
      </c>
      <c r="J956">
        <v>1200</v>
      </c>
      <c r="K956" s="8" t="str">
        <f>IF(Table4[[#This Row],[Total Amount]]=Table4[[#This Row],[Calculated Total]],"Correct","Check")</f>
        <v>Correct</v>
      </c>
      <c r="L956" s="8"/>
    </row>
    <row r="957" spans="1:12">
      <c r="A957" s="2">
        <v>462</v>
      </c>
      <c r="B957" s="1">
        <v>45017</v>
      </c>
      <c r="C957" t="s">
        <v>475</v>
      </c>
      <c r="D957" t="s">
        <v>10</v>
      </c>
      <c r="E957">
        <v>63</v>
      </c>
      <c r="F957" s="2" t="s">
        <v>16</v>
      </c>
      <c r="G957">
        <v>4</v>
      </c>
      <c r="H957">
        <v>300</v>
      </c>
      <c r="I957" s="8">
        <f>Table4[[#This Row],[Quantity]]*Table4[[#This Row],[Price per Unit]]</f>
        <v>1200</v>
      </c>
      <c r="J957">
        <v>1200</v>
      </c>
      <c r="K957" s="8" t="str">
        <f>IF(Table4[[#This Row],[Total Amount]]=Table4[[#This Row],[Calculated Total]],"Correct","Check")</f>
        <v>Correct</v>
      </c>
      <c r="L957" s="8"/>
    </row>
    <row r="958" spans="1:12" hidden="1">
      <c r="A958" s="2">
        <v>153</v>
      </c>
      <c r="B958" s="1">
        <v>45276</v>
      </c>
      <c r="C958" t="s">
        <v>166</v>
      </c>
      <c r="D958" t="s">
        <v>10</v>
      </c>
      <c r="E958">
        <v>63</v>
      </c>
      <c r="F958" s="2" t="s">
        <v>16</v>
      </c>
      <c r="G958">
        <v>2</v>
      </c>
      <c r="H958">
        <v>500</v>
      </c>
      <c r="I958" s="8">
        <f>Table4[[#This Row],[Quantity]]*Table4[[#This Row],[Price per Unit]]</f>
        <v>1000</v>
      </c>
      <c r="J958">
        <v>1000</v>
      </c>
      <c r="K958" s="8" t="str">
        <f>IF(Table4[[#This Row],[Total Amount]]=Table4[[#This Row],[Calculated Total]],"Correct","Check")</f>
        <v>Correct</v>
      </c>
      <c r="L958" s="8"/>
    </row>
    <row r="959" spans="1:12">
      <c r="A959" s="2">
        <v>635</v>
      </c>
      <c r="B959" s="1">
        <v>45155</v>
      </c>
      <c r="C959" t="s">
        <v>648</v>
      </c>
      <c r="D959" t="s">
        <v>13</v>
      </c>
      <c r="E959">
        <v>63</v>
      </c>
      <c r="F959" s="2" t="s">
        <v>16</v>
      </c>
      <c r="G959">
        <v>3</v>
      </c>
      <c r="H959">
        <v>300</v>
      </c>
      <c r="I959" s="8">
        <f>Table4[[#This Row],[Quantity]]*Table4[[#This Row],[Price per Unit]]</f>
        <v>900</v>
      </c>
      <c r="J959">
        <v>900</v>
      </c>
      <c r="K959" s="8" t="str">
        <f>IF(Table4[[#This Row],[Total Amount]]=Table4[[#This Row],[Calculated Total]],"Correct","Check")</f>
        <v>Correct</v>
      </c>
      <c r="L959" s="8"/>
    </row>
    <row r="960" spans="1:12" hidden="1">
      <c r="A960" s="2">
        <v>9</v>
      </c>
      <c r="B960" s="1">
        <v>45273</v>
      </c>
      <c r="C960" t="s">
        <v>22</v>
      </c>
      <c r="D960" t="s">
        <v>10</v>
      </c>
      <c r="E960">
        <v>63</v>
      </c>
      <c r="F960" s="2" t="s">
        <v>16</v>
      </c>
      <c r="G960">
        <v>2</v>
      </c>
      <c r="H960">
        <v>300</v>
      </c>
      <c r="I960" s="8">
        <f>Table4[[#This Row],[Quantity]]*Table4[[#This Row],[Price per Unit]]</f>
        <v>600</v>
      </c>
      <c r="J960">
        <v>600</v>
      </c>
      <c r="K960" s="8" t="str">
        <f>IF(Table4[[#This Row],[Total Amount]]=Table4[[#This Row],[Calculated Total]],"Correct","Check")</f>
        <v>Correct</v>
      </c>
      <c r="L960" s="8"/>
    </row>
    <row r="961" spans="1:12">
      <c r="A961" s="2">
        <v>860</v>
      </c>
      <c r="B961" s="1">
        <v>44935</v>
      </c>
      <c r="C961" t="s">
        <v>873</v>
      </c>
      <c r="D961" t="s">
        <v>10</v>
      </c>
      <c r="E961">
        <v>63</v>
      </c>
      <c r="F961" s="2" t="s">
        <v>14</v>
      </c>
      <c r="G961">
        <v>4</v>
      </c>
      <c r="H961">
        <v>50</v>
      </c>
      <c r="I961" s="8">
        <f>Table4[[#This Row],[Quantity]]*Table4[[#This Row],[Price per Unit]]</f>
        <v>200</v>
      </c>
      <c r="J961">
        <v>200</v>
      </c>
      <c r="K961" s="8" t="str">
        <f>IF(Table4[[#This Row],[Total Amount]]=Table4[[#This Row],[Calculated Total]],"Correct","Check")</f>
        <v>Correct</v>
      </c>
      <c r="L961" s="8"/>
    </row>
    <row r="962" spans="1:12">
      <c r="A962" s="2">
        <v>824</v>
      </c>
      <c r="B962" s="1">
        <v>45051</v>
      </c>
      <c r="C962" t="s">
        <v>837</v>
      </c>
      <c r="D962" t="s">
        <v>10</v>
      </c>
      <c r="E962">
        <v>63</v>
      </c>
      <c r="F962" s="2" t="s">
        <v>14</v>
      </c>
      <c r="G962">
        <v>4</v>
      </c>
      <c r="H962">
        <v>30</v>
      </c>
      <c r="I962" s="8">
        <f>Table4[[#This Row],[Quantity]]*Table4[[#This Row],[Price per Unit]]</f>
        <v>120</v>
      </c>
      <c r="J962">
        <v>120</v>
      </c>
      <c r="K962" s="8" t="str">
        <f>IF(Table4[[#This Row],[Total Amount]]=Table4[[#This Row],[Calculated Total]],"Correct","Check")</f>
        <v>Correct</v>
      </c>
      <c r="L962" s="8"/>
    </row>
    <row r="963" spans="1:12">
      <c r="A963" s="2">
        <v>466</v>
      </c>
      <c r="B963" s="1">
        <v>45097</v>
      </c>
      <c r="C963" t="s">
        <v>479</v>
      </c>
      <c r="D963" t="s">
        <v>10</v>
      </c>
      <c r="E963">
        <v>63</v>
      </c>
      <c r="F963" s="2" t="s">
        <v>16</v>
      </c>
      <c r="G963">
        <v>4</v>
      </c>
      <c r="H963">
        <v>25</v>
      </c>
      <c r="I963" s="8">
        <f>Table4[[#This Row],[Quantity]]*Table4[[#This Row],[Price per Unit]]</f>
        <v>100</v>
      </c>
      <c r="J963">
        <v>100</v>
      </c>
      <c r="K963" s="8" t="str">
        <f>IF(Table4[[#This Row],[Total Amount]]=Table4[[#This Row],[Calculated Total]],"Correct","Check")</f>
        <v>Correct</v>
      </c>
      <c r="L963" s="8"/>
    </row>
    <row r="964" spans="1:12">
      <c r="A964" s="2">
        <v>620</v>
      </c>
      <c r="B964" s="1">
        <v>45054</v>
      </c>
      <c r="C964" t="s">
        <v>633</v>
      </c>
      <c r="D964" t="s">
        <v>10</v>
      </c>
      <c r="E964">
        <v>63</v>
      </c>
      <c r="F964" s="2" t="s">
        <v>16</v>
      </c>
      <c r="G964">
        <v>3</v>
      </c>
      <c r="H964">
        <v>25</v>
      </c>
      <c r="I964" s="8">
        <f>Table4[[#This Row],[Quantity]]*Table4[[#This Row],[Price per Unit]]</f>
        <v>75</v>
      </c>
      <c r="J964">
        <v>75</v>
      </c>
      <c r="K964" s="8" t="str">
        <f>IF(Table4[[#This Row],[Total Amount]]=Table4[[#This Row],[Calculated Total]],"Correct","Check")</f>
        <v>Correct</v>
      </c>
      <c r="L964" s="8"/>
    </row>
    <row r="965" spans="1:12">
      <c r="A965" s="2">
        <v>872</v>
      </c>
      <c r="B965" s="1">
        <v>45210</v>
      </c>
      <c r="C965" t="s">
        <v>885</v>
      </c>
      <c r="D965" t="s">
        <v>13</v>
      </c>
      <c r="E965">
        <v>63</v>
      </c>
      <c r="F965" s="2" t="s">
        <v>11</v>
      </c>
      <c r="G965">
        <v>3</v>
      </c>
      <c r="H965">
        <v>25</v>
      </c>
      <c r="I965" s="8">
        <f>Table4[[#This Row],[Quantity]]*Table4[[#This Row],[Price per Unit]]</f>
        <v>75</v>
      </c>
      <c r="J965">
        <v>75</v>
      </c>
      <c r="K965" s="8" t="str">
        <f>IF(Table4[[#This Row],[Total Amount]]=Table4[[#This Row],[Calculated Total]],"Correct","Check")</f>
        <v>Correct</v>
      </c>
      <c r="L965" s="8"/>
    </row>
    <row r="966" spans="1:12">
      <c r="A966" s="2">
        <v>848</v>
      </c>
      <c r="B966" s="1">
        <v>44970</v>
      </c>
      <c r="C966" t="s">
        <v>861</v>
      </c>
      <c r="D966" t="s">
        <v>13</v>
      </c>
      <c r="E966">
        <v>63</v>
      </c>
      <c r="F966" s="2" t="s">
        <v>14</v>
      </c>
      <c r="G966">
        <v>3</v>
      </c>
      <c r="H966">
        <v>25</v>
      </c>
      <c r="I966" s="8">
        <f>Table4[[#This Row],[Quantity]]*Table4[[#This Row],[Price per Unit]]</f>
        <v>75</v>
      </c>
      <c r="J966">
        <v>75</v>
      </c>
      <c r="K966" s="8" t="str">
        <f>IF(Table4[[#This Row],[Total Amount]]=Table4[[#This Row],[Calculated Total]],"Correct","Check")</f>
        <v>Correct</v>
      </c>
      <c r="L966" s="8"/>
    </row>
    <row r="967" spans="1:12">
      <c r="A967" s="2">
        <v>988</v>
      </c>
      <c r="B967" s="1">
        <v>45074</v>
      </c>
      <c r="C967" t="s">
        <v>1001</v>
      </c>
      <c r="D967" t="s">
        <v>13</v>
      </c>
      <c r="E967">
        <v>63</v>
      </c>
      <c r="F967" s="2" t="s">
        <v>14</v>
      </c>
      <c r="G967">
        <v>3</v>
      </c>
      <c r="H967">
        <v>25</v>
      </c>
      <c r="I967" s="8">
        <f>Table4[[#This Row],[Quantity]]*Table4[[#This Row],[Price per Unit]]</f>
        <v>75</v>
      </c>
      <c r="J967">
        <v>75</v>
      </c>
      <c r="K967" s="8" t="str">
        <f>IF(Table4[[#This Row],[Total Amount]]=Table4[[#This Row],[Calculated Total]],"Correct","Check")</f>
        <v>Correct</v>
      </c>
      <c r="L967" s="8"/>
    </row>
    <row r="968" spans="1:12" hidden="1">
      <c r="A968" s="2">
        <v>189</v>
      </c>
      <c r="B968" s="1">
        <v>44956</v>
      </c>
      <c r="C968" t="s">
        <v>202</v>
      </c>
      <c r="D968" t="s">
        <v>10</v>
      </c>
      <c r="E968">
        <v>63</v>
      </c>
      <c r="F968" s="2" t="s">
        <v>11</v>
      </c>
      <c r="G968">
        <v>1</v>
      </c>
      <c r="H968">
        <v>50</v>
      </c>
      <c r="I968" s="8">
        <f>Table4[[#This Row],[Quantity]]*Table4[[#This Row],[Price per Unit]]</f>
        <v>50</v>
      </c>
      <c r="J968">
        <v>50</v>
      </c>
      <c r="K968" s="8" t="str">
        <f>IF(Table4[[#This Row],[Total Amount]]=Table4[[#This Row],[Calculated Total]],"Correct","Check")</f>
        <v>Correct</v>
      </c>
      <c r="L968" s="8"/>
    </row>
    <row r="969" spans="1:12" hidden="1">
      <c r="A969" s="2">
        <v>574</v>
      </c>
      <c r="B969" s="1">
        <v>45169</v>
      </c>
      <c r="C969" t="s">
        <v>587</v>
      </c>
      <c r="D969" t="s">
        <v>13</v>
      </c>
      <c r="E969">
        <v>63</v>
      </c>
      <c r="F969" s="2" t="s">
        <v>16</v>
      </c>
      <c r="G969">
        <v>2</v>
      </c>
      <c r="H969">
        <v>25</v>
      </c>
      <c r="I969" s="8">
        <f>Table4[[#This Row],[Quantity]]*Table4[[#This Row],[Price per Unit]]</f>
        <v>50</v>
      </c>
      <c r="J969">
        <v>50</v>
      </c>
      <c r="K969" s="8" t="str">
        <f>IF(Table4[[#This Row],[Total Amount]]=Table4[[#This Row],[Calculated Total]],"Correct","Check")</f>
        <v>Correct</v>
      </c>
      <c r="L969" s="8"/>
    </row>
    <row r="970" spans="1:12" hidden="1">
      <c r="A970" s="2">
        <v>57</v>
      </c>
      <c r="B970" s="1">
        <v>45248</v>
      </c>
      <c r="C970" t="s">
        <v>70</v>
      </c>
      <c r="D970" t="s">
        <v>13</v>
      </c>
      <c r="E970">
        <v>63</v>
      </c>
      <c r="F970" s="2" t="s">
        <v>11</v>
      </c>
      <c r="G970">
        <v>1</v>
      </c>
      <c r="H970">
        <v>30</v>
      </c>
      <c r="I970" s="8">
        <f>Table4[[#This Row],[Quantity]]*Table4[[#This Row],[Price per Unit]]</f>
        <v>30</v>
      </c>
      <c r="J970">
        <v>30</v>
      </c>
      <c r="K970" s="8" t="str">
        <f>IF(Table4[[#This Row],[Total Amount]]=Table4[[#This Row],[Calculated Total]],"Correct","Check")</f>
        <v>Correct</v>
      </c>
      <c r="L970" s="8"/>
    </row>
    <row r="971" spans="1:12">
      <c r="A971" s="2">
        <v>561</v>
      </c>
      <c r="B971" s="1">
        <v>45073</v>
      </c>
      <c r="C971" t="s">
        <v>574</v>
      </c>
      <c r="D971" t="s">
        <v>13</v>
      </c>
      <c r="E971">
        <v>64</v>
      </c>
      <c r="F971" s="2" t="s">
        <v>14</v>
      </c>
      <c r="G971">
        <v>4</v>
      </c>
      <c r="H971">
        <v>500</v>
      </c>
      <c r="I971" s="8">
        <f>Table4[[#This Row],[Quantity]]*Table4[[#This Row],[Price per Unit]]</f>
        <v>2000</v>
      </c>
      <c r="J971">
        <v>2000</v>
      </c>
      <c r="K971" s="8" t="str">
        <f>IF(Table4[[#This Row],[Total Amount]]=Table4[[#This Row],[Calculated Total]],"Correct","Check")</f>
        <v>Correct</v>
      </c>
      <c r="L971" s="8"/>
    </row>
    <row r="972" spans="1:12">
      <c r="A972" s="2">
        <v>735</v>
      </c>
      <c r="B972" s="1">
        <v>45203</v>
      </c>
      <c r="C972" t="s">
        <v>748</v>
      </c>
      <c r="D972" t="s">
        <v>13</v>
      </c>
      <c r="E972">
        <v>64</v>
      </c>
      <c r="F972" s="2" t="s">
        <v>14</v>
      </c>
      <c r="G972">
        <v>4</v>
      </c>
      <c r="H972">
        <v>500</v>
      </c>
      <c r="I972" s="8">
        <f>Table4[[#This Row],[Quantity]]*Table4[[#This Row],[Price per Unit]]</f>
        <v>2000</v>
      </c>
      <c r="J972">
        <v>2000</v>
      </c>
      <c r="K972" s="8" t="str">
        <f>IF(Table4[[#This Row],[Total Amount]]=Table4[[#This Row],[Calculated Total]],"Correct","Check")</f>
        <v>Correct</v>
      </c>
      <c r="L972" s="8"/>
    </row>
    <row r="973" spans="1:12" hidden="1">
      <c r="A973" s="2">
        <v>161</v>
      </c>
      <c r="B973" s="1">
        <v>45007</v>
      </c>
      <c r="C973" t="s">
        <v>174</v>
      </c>
      <c r="D973" t="s">
        <v>10</v>
      </c>
      <c r="E973">
        <v>64</v>
      </c>
      <c r="F973" s="2" t="s">
        <v>11</v>
      </c>
      <c r="G973">
        <v>2</v>
      </c>
      <c r="H973">
        <v>500</v>
      </c>
      <c r="I973" s="8">
        <f>Table4[[#This Row],[Quantity]]*Table4[[#This Row],[Price per Unit]]</f>
        <v>1000</v>
      </c>
      <c r="J973">
        <v>1000</v>
      </c>
      <c r="K973" s="8" t="str">
        <f>IF(Table4[[#This Row],[Total Amount]]=Table4[[#This Row],[Calculated Total]],"Correct","Check")</f>
        <v>Correct</v>
      </c>
      <c r="L973" s="8"/>
    </row>
    <row r="974" spans="1:12" hidden="1">
      <c r="A974" s="2">
        <v>440</v>
      </c>
      <c r="B974" s="1">
        <v>45225</v>
      </c>
      <c r="C974" t="s">
        <v>453</v>
      </c>
      <c r="D974" t="s">
        <v>10</v>
      </c>
      <c r="E974">
        <v>64</v>
      </c>
      <c r="F974" s="2" t="s">
        <v>14</v>
      </c>
      <c r="G974">
        <v>2</v>
      </c>
      <c r="H974">
        <v>300</v>
      </c>
      <c r="I974" s="8">
        <f>Table4[[#This Row],[Quantity]]*Table4[[#This Row],[Price per Unit]]</f>
        <v>600</v>
      </c>
      <c r="J974">
        <v>600</v>
      </c>
      <c r="K974" s="8" t="str">
        <f>IF(Table4[[#This Row],[Total Amount]]=Table4[[#This Row],[Calculated Total]],"Correct","Check")</f>
        <v>Correct</v>
      </c>
      <c r="L974" s="8"/>
    </row>
    <row r="975" spans="1:12" hidden="1">
      <c r="A975" s="2">
        <v>220</v>
      </c>
      <c r="B975" s="1">
        <v>44988</v>
      </c>
      <c r="C975" t="s">
        <v>233</v>
      </c>
      <c r="D975" t="s">
        <v>10</v>
      </c>
      <c r="E975">
        <v>64</v>
      </c>
      <c r="F975" s="2" t="s">
        <v>11</v>
      </c>
      <c r="G975">
        <v>1</v>
      </c>
      <c r="H975">
        <v>500</v>
      </c>
      <c r="I975" s="8">
        <f>Table4[[#This Row],[Quantity]]*Table4[[#This Row],[Price per Unit]]</f>
        <v>500</v>
      </c>
      <c r="J975">
        <v>500</v>
      </c>
      <c r="K975" s="8" t="str">
        <f>IF(Table4[[#This Row],[Total Amount]]=Table4[[#This Row],[Calculated Total]],"Correct","Check")</f>
        <v>Correct</v>
      </c>
      <c r="L975" s="8"/>
    </row>
    <row r="976" spans="1:12" hidden="1">
      <c r="A976" s="2">
        <v>408</v>
      </c>
      <c r="B976" s="1">
        <v>45031</v>
      </c>
      <c r="C976" t="s">
        <v>421</v>
      </c>
      <c r="D976" t="s">
        <v>13</v>
      </c>
      <c r="E976">
        <v>64</v>
      </c>
      <c r="F976" s="2" t="s">
        <v>11</v>
      </c>
      <c r="G976">
        <v>1</v>
      </c>
      <c r="H976">
        <v>500</v>
      </c>
      <c r="I976" s="8">
        <f>Table4[[#This Row],[Quantity]]*Table4[[#This Row],[Price per Unit]]</f>
        <v>500</v>
      </c>
      <c r="J976">
        <v>500</v>
      </c>
      <c r="K976" s="8" t="str">
        <f>IF(Table4[[#This Row],[Total Amount]]=Table4[[#This Row],[Calculated Total]],"Correct","Check")</f>
        <v>Correct</v>
      </c>
      <c r="L976" s="8"/>
    </row>
    <row r="977" spans="1:12" hidden="1">
      <c r="A977" s="2">
        <v>596</v>
      </c>
      <c r="B977" s="1">
        <v>44964</v>
      </c>
      <c r="C977" t="s">
        <v>609</v>
      </c>
      <c r="D977" t="s">
        <v>13</v>
      </c>
      <c r="E977">
        <v>64</v>
      </c>
      <c r="F977" s="2" t="s">
        <v>16</v>
      </c>
      <c r="G977">
        <v>1</v>
      </c>
      <c r="H977">
        <v>300</v>
      </c>
      <c r="I977" s="8">
        <f>Table4[[#This Row],[Quantity]]*Table4[[#This Row],[Price per Unit]]</f>
        <v>300</v>
      </c>
      <c r="J977">
        <v>300</v>
      </c>
      <c r="K977" s="8" t="str">
        <f>IF(Table4[[#This Row],[Total Amount]]=Table4[[#This Row],[Calculated Total]],"Correct","Check")</f>
        <v>Correct</v>
      </c>
      <c r="L977" s="8"/>
    </row>
    <row r="978" spans="1:12" hidden="1">
      <c r="A978" s="2">
        <v>698</v>
      </c>
      <c r="B978" s="1">
        <v>45126</v>
      </c>
      <c r="C978" t="s">
        <v>711</v>
      </c>
      <c r="D978" t="s">
        <v>13</v>
      </c>
      <c r="E978">
        <v>64</v>
      </c>
      <c r="F978" s="2" t="s">
        <v>16</v>
      </c>
      <c r="G978">
        <v>1</v>
      </c>
      <c r="H978">
        <v>300</v>
      </c>
      <c r="I978" s="8">
        <f>Table4[[#This Row],[Quantity]]*Table4[[#This Row],[Price per Unit]]</f>
        <v>300</v>
      </c>
      <c r="J978">
        <v>300</v>
      </c>
      <c r="K978" s="8" t="str">
        <f>IF(Table4[[#This Row],[Total Amount]]=Table4[[#This Row],[Calculated Total]],"Correct","Check")</f>
        <v>Correct</v>
      </c>
      <c r="L978" s="8"/>
    </row>
    <row r="979" spans="1:12">
      <c r="A979" s="2">
        <v>282</v>
      </c>
      <c r="B979" s="1">
        <v>45163</v>
      </c>
      <c r="C979" t="s">
        <v>295</v>
      </c>
      <c r="D979" t="s">
        <v>13</v>
      </c>
      <c r="E979">
        <v>64</v>
      </c>
      <c r="F979" s="2" t="s">
        <v>16</v>
      </c>
      <c r="G979">
        <v>4</v>
      </c>
      <c r="H979">
        <v>50</v>
      </c>
      <c r="I979" s="8">
        <f>Table4[[#This Row],[Quantity]]*Table4[[#This Row],[Price per Unit]]</f>
        <v>200</v>
      </c>
      <c r="J979">
        <v>200</v>
      </c>
      <c r="K979" s="8" t="str">
        <f>IF(Table4[[#This Row],[Total Amount]]=Table4[[#This Row],[Calculated Total]],"Correct","Check")</f>
        <v>Correct</v>
      </c>
      <c r="L979" s="8"/>
    </row>
    <row r="980" spans="1:12">
      <c r="A980" s="2">
        <v>163</v>
      </c>
      <c r="B980" s="1">
        <v>44928</v>
      </c>
      <c r="C980" t="s">
        <v>176</v>
      </c>
      <c r="D980" t="s">
        <v>13</v>
      </c>
      <c r="E980">
        <v>64</v>
      </c>
      <c r="F980" s="2" t="s">
        <v>14</v>
      </c>
      <c r="G980">
        <v>3</v>
      </c>
      <c r="H980">
        <v>50</v>
      </c>
      <c r="I980" s="8">
        <f>Table4[[#This Row],[Quantity]]*Table4[[#This Row],[Price per Unit]]</f>
        <v>150</v>
      </c>
      <c r="J980">
        <v>150</v>
      </c>
      <c r="K980" s="8" t="str">
        <f>IF(Table4[[#This Row],[Total Amount]]=Table4[[#This Row],[Calculated Total]],"Correct","Check")</f>
        <v>Correct</v>
      </c>
      <c r="L980" s="8"/>
    </row>
    <row r="981" spans="1:12">
      <c r="A981" s="2">
        <v>830</v>
      </c>
      <c r="B981" s="1">
        <v>45099</v>
      </c>
      <c r="C981" t="s">
        <v>843</v>
      </c>
      <c r="D981" t="s">
        <v>13</v>
      </c>
      <c r="E981">
        <v>64</v>
      </c>
      <c r="F981" s="2" t="s">
        <v>14</v>
      </c>
      <c r="G981">
        <v>3</v>
      </c>
      <c r="H981">
        <v>50</v>
      </c>
      <c r="I981" s="8">
        <f>Table4[[#This Row],[Quantity]]*Table4[[#This Row],[Price per Unit]]</f>
        <v>150</v>
      </c>
      <c r="J981">
        <v>150</v>
      </c>
      <c r="K981" s="8" t="str">
        <f>IF(Table4[[#This Row],[Total Amount]]=Table4[[#This Row],[Calculated Total]],"Correct","Check")</f>
        <v>Correct</v>
      </c>
      <c r="L981" s="8"/>
    </row>
    <row r="982" spans="1:12">
      <c r="A982" s="2">
        <v>14</v>
      </c>
      <c r="B982" s="1">
        <v>44943</v>
      </c>
      <c r="C982" t="s">
        <v>27</v>
      </c>
      <c r="D982" t="s">
        <v>10</v>
      </c>
      <c r="E982">
        <v>64</v>
      </c>
      <c r="F982" s="2" t="s">
        <v>14</v>
      </c>
      <c r="G982">
        <v>4</v>
      </c>
      <c r="H982">
        <v>30</v>
      </c>
      <c r="I982" s="8">
        <f>Table4[[#This Row],[Quantity]]*Table4[[#This Row],[Price per Unit]]</f>
        <v>120</v>
      </c>
      <c r="J982">
        <v>120</v>
      </c>
      <c r="K982" s="8" t="str">
        <f>IF(Table4[[#This Row],[Total Amount]]=Table4[[#This Row],[Calculated Total]],"Correct","Check")</f>
        <v>Correct</v>
      </c>
      <c r="L982" s="8"/>
    </row>
    <row r="983" spans="1:12">
      <c r="A983" s="2">
        <v>122</v>
      </c>
      <c r="B983" s="1">
        <v>45202</v>
      </c>
      <c r="C983" t="s">
        <v>135</v>
      </c>
      <c r="D983" t="s">
        <v>10</v>
      </c>
      <c r="E983">
        <v>64</v>
      </c>
      <c r="F983" s="2" t="s">
        <v>16</v>
      </c>
      <c r="G983">
        <v>4</v>
      </c>
      <c r="H983">
        <v>30</v>
      </c>
      <c r="I983" s="8">
        <f>Table4[[#This Row],[Quantity]]*Table4[[#This Row],[Price per Unit]]</f>
        <v>120</v>
      </c>
      <c r="J983">
        <v>120</v>
      </c>
      <c r="K983" s="8" t="str">
        <f>IF(Table4[[#This Row],[Total Amount]]=Table4[[#This Row],[Calculated Total]],"Correct","Check")</f>
        <v>Correct</v>
      </c>
      <c r="L983" s="8"/>
    </row>
    <row r="984" spans="1:12">
      <c r="A984" s="2">
        <v>173</v>
      </c>
      <c r="B984" s="1">
        <v>45238</v>
      </c>
      <c r="C984" t="s">
        <v>186</v>
      </c>
      <c r="D984" t="s">
        <v>10</v>
      </c>
      <c r="E984">
        <v>64</v>
      </c>
      <c r="F984" s="2" t="s">
        <v>16</v>
      </c>
      <c r="G984">
        <v>4</v>
      </c>
      <c r="H984">
        <v>30</v>
      </c>
      <c r="I984" s="8">
        <f>Table4[[#This Row],[Quantity]]*Table4[[#This Row],[Price per Unit]]</f>
        <v>120</v>
      </c>
      <c r="J984">
        <v>120</v>
      </c>
      <c r="K984" s="8" t="str">
        <f>IF(Table4[[#This Row],[Total Amount]]=Table4[[#This Row],[Calculated Total]],"Correct","Check")</f>
        <v>Correct</v>
      </c>
      <c r="L984" s="8"/>
    </row>
    <row r="985" spans="1:12">
      <c r="A985" s="2">
        <v>532</v>
      </c>
      <c r="B985" s="1">
        <v>45096</v>
      </c>
      <c r="C985" t="s">
        <v>545</v>
      </c>
      <c r="D985" t="s">
        <v>13</v>
      </c>
      <c r="E985">
        <v>64</v>
      </c>
      <c r="F985" s="2" t="s">
        <v>14</v>
      </c>
      <c r="G985">
        <v>4</v>
      </c>
      <c r="H985">
        <v>30</v>
      </c>
      <c r="I985" s="8">
        <f>Table4[[#This Row],[Quantity]]*Table4[[#This Row],[Price per Unit]]</f>
        <v>120</v>
      </c>
      <c r="J985">
        <v>120</v>
      </c>
      <c r="K985" s="8" t="str">
        <f>IF(Table4[[#This Row],[Total Amount]]=Table4[[#This Row],[Calculated Total]],"Correct","Check")</f>
        <v>Correct</v>
      </c>
      <c r="L985" s="8"/>
    </row>
    <row r="986" spans="1:12" hidden="1">
      <c r="A986" s="2">
        <v>187</v>
      </c>
      <c r="B986" s="1">
        <v>45084</v>
      </c>
      <c r="C986" t="s">
        <v>200</v>
      </c>
      <c r="D986" t="s">
        <v>13</v>
      </c>
      <c r="E986">
        <v>64</v>
      </c>
      <c r="F986" s="2" t="s">
        <v>14</v>
      </c>
      <c r="G986">
        <v>2</v>
      </c>
      <c r="H986">
        <v>50</v>
      </c>
      <c r="I986" s="8">
        <f>Table4[[#This Row],[Quantity]]*Table4[[#This Row],[Price per Unit]]</f>
        <v>100</v>
      </c>
      <c r="J986">
        <v>100</v>
      </c>
      <c r="K986" s="8" t="str">
        <f>IF(Table4[[#This Row],[Total Amount]]=Table4[[#This Row],[Calculated Total]],"Correct","Check")</f>
        <v>Correct</v>
      </c>
      <c r="L986" s="8"/>
    </row>
    <row r="987" spans="1:12" hidden="1">
      <c r="A987" s="2">
        <v>897</v>
      </c>
      <c r="B987" s="1">
        <v>45195</v>
      </c>
      <c r="C987" t="s">
        <v>910</v>
      </c>
      <c r="D987" t="s">
        <v>13</v>
      </c>
      <c r="E987">
        <v>64</v>
      </c>
      <c r="F987" s="2" t="s">
        <v>16</v>
      </c>
      <c r="G987">
        <v>2</v>
      </c>
      <c r="H987">
        <v>50</v>
      </c>
      <c r="I987" s="8">
        <f>Table4[[#This Row],[Quantity]]*Table4[[#This Row],[Price per Unit]]</f>
        <v>100</v>
      </c>
      <c r="J987">
        <v>100</v>
      </c>
      <c r="K987" s="8" t="str">
        <f>IF(Table4[[#This Row],[Total Amount]]=Table4[[#This Row],[Calculated Total]],"Correct","Check")</f>
        <v>Correct</v>
      </c>
      <c r="L987" s="8"/>
    </row>
    <row r="988" spans="1:12" hidden="1">
      <c r="A988" s="2">
        <v>692</v>
      </c>
      <c r="B988" s="1">
        <v>45176</v>
      </c>
      <c r="C988" t="s">
        <v>705</v>
      </c>
      <c r="D988" t="s">
        <v>13</v>
      </c>
      <c r="E988">
        <v>64</v>
      </c>
      <c r="F988" s="2" t="s">
        <v>14</v>
      </c>
      <c r="G988">
        <v>2</v>
      </c>
      <c r="H988">
        <v>50</v>
      </c>
      <c r="I988" s="8">
        <f>Table4[[#This Row],[Quantity]]*Table4[[#This Row],[Price per Unit]]</f>
        <v>100</v>
      </c>
      <c r="J988">
        <v>100</v>
      </c>
      <c r="K988" s="8" t="str">
        <f>IF(Table4[[#This Row],[Total Amount]]=Table4[[#This Row],[Calculated Total]],"Correct","Check")</f>
        <v>Correct</v>
      </c>
      <c r="L988" s="8"/>
    </row>
    <row r="989" spans="1:12">
      <c r="A989" s="2">
        <v>758</v>
      </c>
      <c r="B989" s="1">
        <v>45058</v>
      </c>
      <c r="C989" t="s">
        <v>771</v>
      </c>
      <c r="D989" t="s">
        <v>10</v>
      </c>
      <c r="E989">
        <v>64</v>
      </c>
      <c r="F989" s="2" t="s">
        <v>14</v>
      </c>
      <c r="G989">
        <v>4</v>
      </c>
      <c r="H989">
        <v>25</v>
      </c>
      <c r="I989" s="8">
        <f>Table4[[#This Row],[Quantity]]*Table4[[#This Row],[Price per Unit]]</f>
        <v>100</v>
      </c>
      <c r="J989">
        <v>100</v>
      </c>
      <c r="K989" s="8" t="str">
        <f>IF(Table4[[#This Row],[Total Amount]]=Table4[[#This Row],[Calculated Total]],"Correct","Check")</f>
        <v>Correct</v>
      </c>
      <c r="L989" s="8"/>
    </row>
    <row r="990" spans="1:12">
      <c r="A990" s="2">
        <v>218</v>
      </c>
      <c r="B990" s="1">
        <v>45191</v>
      </c>
      <c r="C990" t="s">
        <v>231</v>
      </c>
      <c r="D990" t="s">
        <v>10</v>
      </c>
      <c r="E990">
        <v>64</v>
      </c>
      <c r="F990" s="2" t="s">
        <v>11</v>
      </c>
      <c r="G990">
        <v>3</v>
      </c>
      <c r="H990">
        <v>30</v>
      </c>
      <c r="I990" s="8">
        <f>Table4[[#This Row],[Quantity]]*Table4[[#This Row],[Price per Unit]]</f>
        <v>90</v>
      </c>
      <c r="J990">
        <v>90</v>
      </c>
      <c r="K990" s="8" t="str">
        <f>IF(Table4[[#This Row],[Total Amount]]=Table4[[#This Row],[Calculated Total]],"Correct","Check")</f>
        <v>Correct</v>
      </c>
      <c r="L990" s="8"/>
    </row>
    <row r="991" spans="1:12" hidden="1">
      <c r="A991" s="2">
        <v>80</v>
      </c>
      <c r="B991" s="1">
        <v>45270</v>
      </c>
      <c r="C991" t="s">
        <v>93</v>
      </c>
      <c r="D991" t="s">
        <v>13</v>
      </c>
      <c r="E991">
        <v>64</v>
      </c>
      <c r="F991" s="2" t="s">
        <v>14</v>
      </c>
      <c r="G991">
        <v>2</v>
      </c>
      <c r="H991">
        <v>30</v>
      </c>
      <c r="I991" s="8">
        <f>Table4[[#This Row],[Quantity]]*Table4[[#This Row],[Price per Unit]]</f>
        <v>60</v>
      </c>
      <c r="J991">
        <v>60</v>
      </c>
      <c r="K991" s="8" t="str">
        <f>IF(Table4[[#This Row],[Total Amount]]=Table4[[#This Row],[Calculated Total]],"Correct","Check")</f>
        <v>Correct</v>
      </c>
      <c r="L991" s="8"/>
    </row>
    <row r="992" spans="1:12" hidden="1">
      <c r="A992" s="2">
        <v>399</v>
      </c>
      <c r="B992" s="1">
        <v>44986</v>
      </c>
      <c r="C992" t="s">
        <v>412</v>
      </c>
      <c r="D992" t="s">
        <v>13</v>
      </c>
      <c r="E992">
        <v>64</v>
      </c>
      <c r="F992" s="2" t="s">
        <v>11</v>
      </c>
      <c r="G992">
        <v>2</v>
      </c>
      <c r="H992">
        <v>30</v>
      </c>
      <c r="I992" s="8">
        <f>Table4[[#This Row],[Quantity]]*Table4[[#This Row],[Price per Unit]]</f>
        <v>60</v>
      </c>
      <c r="J992">
        <v>60</v>
      </c>
      <c r="K992" s="8" t="str">
        <f>IF(Table4[[#This Row],[Total Amount]]=Table4[[#This Row],[Calculated Total]],"Correct","Check")</f>
        <v>Correct</v>
      </c>
      <c r="L992" s="8"/>
    </row>
    <row r="993" spans="1:12" hidden="1">
      <c r="A993" s="2">
        <v>25</v>
      </c>
      <c r="B993" s="1">
        <v>45286</v>
      </c>
      <c r="C993" t="s">
        <v>38</v>
      </c>
      <c r="D993" t="s">
        <v>13</v>
      </c>
      <c r="E993">
        <v>64</v>
      </c>
      <c r="F993" s="2" t="s">
        <v>11</v>
      </c>
      <c r="G993">
        <v>1</v>
      </c>
      <c r="H993">
        <v>50</v>
      </c>
      <c r="I993" s="8">
        <f>Table4[[#This Row],[Quantity]]*Table4[[#This Row],[Price per Unit]]</f>
        <v>50</v>
      </c>
      <c r="J993">
        <v>50</v>
      </c>
      <c r="K993" s="8" t="str">
        <f>IF(Table4[[#This Row],[Total Amount]]=Table4[[#This Row],[Calculated Total]],"Correct","Check")</f>
        <v>Correct</v>
      </c>
      <c r="L993" s="8"/>
    </row>
    <row r="994" spans="1:12" hidden="1">
      <c r="A994" s="2">
        <v>429</v>
      </c>
      <c r="B994" s="1">
        <v>45288</v>
      </c>
      <c r="C994" t="s">
        <v>442</v>
      </c>
      <c r="D994" t="s">
        <v>10</v>
      </c>
      <c r="E994">
        <v>64</v>
      </c>
      <c r="F994" s="2" t="s">
        <v>16</v>
      </c>
      <c r="G994">
        <v>2</v>
      </c>
      <c r="H994">
        <v>25</v>
      </c>
      <c r="I994" s="8">
        <f>Table4[[#This Row],[Quantity]]*Table4[[#This Row],[Price per Unit]]</f>
        <v>50</v>
      </c>
      <c r="J994">
        <v>50</v>
      </c>
      <c r="K994" s="8" t="str">
        <f>IF(Table4[[#This Row],[Total Amount]]=Table4[[#This Row],[Calculated Total]],"Correct","Check")</f>
        <v>Correct</v>
      </c>
      <c r="L994" s="8"/>
    </row>
    <row r="995" spans="1:12" hidden="1">
      <c r="A995" s="2">
        <v>473</v>
      </c>
      <c r="B995" s="1">
        <v>44982</v>
      </c>
      <c r="C995" t="s">
        <v>486</v>
      </c>
      <c r="D995" t="s">
        <v>10</v>
      </c>
      <c r="E995">
        <v>64</v>
      </c>
      <c r="F995" s="2" t="s">
        <v>11</v>
      </c>
      <c r="G995">
        <v>1</v>
      </c>
      <c r="H995">
        <v>50</v>
      </c>
      <c r="I995" s="8">
        <f>Table4[[#This Row],[Quantity]]*Table4[[#This Row],[Price per Unit]]</f>
        <v>50</v>
      </c>
      <c r="J995">
        <v>50</v>
      </c>
      <c r="K995" s="8" t="str">
        <f>IF(Table4[[#This Row],[Total Amount]]=Table4[[#This Row],[Calculated Total]],"Correct","Check")</f>
        <v>Correct</v>
      </c>
      <c r="L995" s="8"/>
    </row>
    <row r="996" spans="1:12" hidden="1">
      <c r="A996" s="2">
        <v>882</v>
      </c>
      <c r="B996" s="1">
        <v>45083</v>
      </c>
      <c r="C996" t="s">
        <v>895</v>
      </c>
      <c r="D996" t="s">
        <v>13</v>
      </c>
      <c r="E996">
        <v>64</v>
      </c>
      <c r="F996" s="2" t="s">
        <v>16</v>
      </c>
      <c r="G996">
        <v>2</v>
      </c>
      <c r="H996">
        <v>25</v>
      </c>
      <c r="I996" s="8">
        <f>Table4[[#This Row],[Quantity]]*Table4[[#This Row],[Price per Unit]]</f>
        <v>50</v>
      </c>
      <c r="J996">
        <v>50</v>
      </c>
      <c r="K996" s="8" t="str">
        <f>IF(Table4[[#This Row],[Total Amount]]=Table4[[#This Row],[Calculated Total]],"Correct","Check")</f>
        <v>Correct</v>
      </c>
      <c r="L996" s="8"/>
    </row>
    <row r="997" spans="1:12" hidden="1">
      <c r="A997" s="2">
        <v>376</v>
      </c>
      <c r="B997" s="1">
        <v>45062</v>
      </c>
      <c r="C997" t="s">
        <v>389</v>
      </c>
      <c r="D997" t="s">
        <v>13</v>
      </c>
      <c r="E997">
        <v>64</v>
      </c>
      <c r="F997" s="2" t="s">
        <v>11</v>
      </c>
      <c r="G997">
        <v>1</v>
      </c>
      <c r="H997">
        <v>30</v>
      </c>
      <c r="I997" s="8">
        <f>Table4[[#This Row],[Quantity]]*Table4[[#This Row],[Price per Unit]]</f>
        <v>30</v>
      </c>
      <c r="J997">
        <v>30</v>
      </c>
      <c r="K997" s="8" t="str">
        <f>IF(Table4[[#This Row],[Total Amount]]=Table4[[#This Row],[Calculated Total]],"Correct","Check")</f>
        <v>Correct</v>
      </c>
      <c r="L997" s="8"/>
    </row>
    <row r="998" spans="1:12" hidden="1">
      <c r="A998" s="2">
        <v>566</v>
      </c>
      <c r="B998" s="1">
        <v>45262</v>
      </c>
      <c r="C998" t="s">
        <v>579</v>
      </c>
      <c r="D998" t="s">
        <v>13</v>
      </c>
      <c r="E998">
        <v>64</v>
      </c>
      <c r="F998" s="2" t="s">
        <v>14</v>
      </c>
      <c r="G998">
        <v>1</v>
      </c>
      <c r="H998">
        <v>30</v>
      </c>
      <c r="I998" s="8">
        <f>Table4[[#This Row],[Quantity]]*Table4[[#This Row],[Price per Unit]]</f>
        <v>30</v>
      </c>
      <c r="J998">
        <v>30</v>
      </c>
      <c r="K998" s="8" t="str">
        <f>IF(Table4[[#This Row],[Total Amount]]=Table4[[#This Row],[Calculated Total]],"Correct","Check")</f>
        <v>Correct</v>
      </c>
      <c r="L998" s="8"/>
    </row>
    <row r="999" spans="1:12" hidden="1">
      <c r="A999" s="2">
        <v>191</v>
      </c>
      <c r="B999" s="1">
        <v>45217</v>
      </c>
      <c r="C999" t="s">
        <v>204</v>
      </c>
      <c r="D999" t="s">
        <v>10</v>
      </c>
      <c r="E999">
        <v>64</v>
      </c>
      <c r="F999" s="2" t="s">
        <v>11</v>
      </c>
      <c r="G999">
        <v>1</v>
      </c>
      <c r="H999">
        <v>25</v>
      </c>
      <c r="I999" s="8">
        <f>Table4[[#This Row],[Quantity]]*Table4[[#This Row],[Price per Unit]]</f>
        <v>25</v>
      </c>
      <c r="J999">
        <v>25</v>
      </c>
      <c r="K999" s="8" t="str">
        <f>IF(Table4[[#This Row],[Total Amount]]=Table4[[#This Row],[Calculated Total]],"Correct","Check")</f>
        <v>Correct</v>
      </c>
      <c r="L999" s="8"/>
    </row>
    <row r="1000" spans="1:12" hidden="1">
      <c r="A1000" s="2">
        <v>363</v>
      </c>
      <c r="B1000" s="1">
        <v>45080</v>
      </c>
      <c r="C1000" t="s">
        <v>376</v>
      </c>
      <c r="D1000" t="s">
        <v>10</v>
      </c>
      <c r="E1000">
        <v>64</v>
      </c>
      <c r="F1000" s="2" t="s">
        <v>11</v>
      </c>
      <c r="G1000">
        <v>1</v>
      </c>
      <c r="H1000">
        <v>25</v>
      </c>
      <c r="I1000" s="8">
        <f>Table4[[#This Row],[Quantity]]*Table4[[#This Row],[Price per Unit]]</f>
        <v>25</v>
      </c>
      <c r="J1000">
        <v>25</v>
      </c>
      <c r="K1000" s="8" t="str">
        <f>IF(Table4[[#This Row],[Total Amount]]=Table4[[#This Row],[Calculated Total]],"Correct","Check")</f>
        <v>Correct</v>
      </c>
      <c r="L1000" s="8"/>
    </row>
    <row r="1001" spans="1:12" hidden="1">
      <c r="A1001" s="2">
        <v>223</v>
      </c>
      <c r="B1001" s="1">
        <v>44959</v>
      </c>
      <c r="C1001" t="s">
        <v>236</v>
      </c>
      <c r="D1001" t="s">
        <v>13</v>
      </c>
      <c r="E1001">
        <v>64</v>
      </c>
      <c r="F1001" s="2" t="s">
        <v>14</v>
      </c>
      <c r="G1001">
        <v>1</v>
      </c>
      <c r="H1001">
        <v>25</v>
      </c>
      <c r="I1001" s="8">
        <f>Table4[[#This Row],[Quantity]]*Table4[[#This Row],[Price per Unit]]</f>
        <v>25</v>
      </c>
      <c r="J1001">
        <v>25</v>
      </c>
      <c r="K1001" s="8" t="str">
        <f>IF(Table4[[#This Row],[Total Amount]]=Table4[[#This Row],[Calculated Total]],"Correct","Check")</f>
        <v>Correct</v>
      </c>
      <c r="L1001" s="8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P1001"/>
  <sheetViews>
    <sheetView tabSelected="1" topLeftCell="G1" workbookViewId="0">
      <selection activeCell="L15" sqref="L15"/>
    </sheetView>
  </sheetViews>
  <sheetFormatPr defaultRowHeight="15"/>
  <cols>
    <col min="1" max="1" width="22.28515625" bestFit="1" customWidth="1"/>
    <col min="2" max="2" width="9" bestFit="1" customWidth="1"/>
    <col min="3" max="3" width="17.7109375" bestFit="1" customWidth="1"/>
    <col min="4" max="4" width="12" bestFit="1" customWidth="1"/>
    <col min="5" max="5" width="8" bestFit="1" customWidth="1"/>
    <col min="6" max="6" width="25.7109375" bestFit="1" customWidth="1"/>
    <col min="7" max="7" width="13.5703125" bestFit="1" customWidth="1"/>
    <col min="8" max="8" width="19.28515625" bestFit="1" customWidth="1"/>
    <col min="9" max="9" width="19.140625" bestFit="1" customWidth="1"/>
    <col min="10" max="10" width="6.7109375" customWidth="1"/>
    <col min="14" max="14" width="26" customWidth="1"/>
    <col min="16" max="16" width="15.42578125" customWidth="1"/>
  </cols>
  <sheetData>
    <row r="1" spans="1:16" ht="18.75">
      <c r="A1" s="3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3" t="s">
        <v>5</v>
      </c>
      <c r="G1" s="5" t="s">
        <v>6</v>
      </c>
      <c r="H1" s="7" t="s">
        <v>7</v>
      </c>
      <c r="I1" s="7" t="s">
        <v>8</v>
      </c>
    </row>
    <row r="2" spans="1:16" ht="15" customHeight="1">
      <c r="A2" s="2">
        <v>1</v>
      </c>
      <c r="B2" s="1">
        <v>45254</v>
      </c>
      <c r="C2" t="s">
        <v>9</v>
      </c>
      <c r="D2" t="s">
        <v>10</v>
      </c>
      <c r="E2">
        <v>34</v>
      </c>
      <c r="F2" s="2" t="s">
        <v>11</v>
      </c>
      <c r="G2">
        <v>3</v>
      </c>
      <c r="H2">
        <v>50</v>
      </c>
      <c r="I2">
        <v>150</v>
      </c>
      <c r="K2" s="68" t="s">
        <v>1092</v>
      </c>
      <c r="L2" s="68"/>
      <c r="M2" s="68"/>
      <c r="N2" s="68"/>
      <c r="O2" s="68"/>
      <c r="P2" s="68"/>
    </row>
    <row r="3" spans="1:16" ht="15" customHeight="1">
      <c r="A3" s="2">
        <v>2</v>
      </c>
      <c r="B3" s="1">
        <v>44984</v>
      </c>
      <c r="C3" t="s">
        <v>12</v>
      </c>
      <c r="D3" t="s">
        <v>13</v>
      </c>
      <c r="E3">
        <v>26</v>
      </c>
      <c r="F3" s="2" t="s">
        <v>14</v>
      </c>
      <c r="G3">
        <v>2</v>
      </c>
      <c r="H3">
        <v>500</v>
      </c>
      <c r="I3">
        <v>1000</v>
      </c>
      <c r="K3" s="68"/>
      <c r="L3" s="68"/>
      <c r="M3" s="68"/>
      <c r="N3" s="68"/>
      <c r="O3" s="68"/>
      <c r="P3" s="68"/>
    </row>
    <row r="4" spans="1:16" ht="18.75">
      <c r="A4" s="2">
        <v>3</v>
      </c>
      <c r="B4" s="1">
        <v>44939</v>
      </c>
      <c r="C4" t="s">
        <v>15</v>
      </c>
      <c r="D4" t="s">
        <v>10</v>
      </c>
      <c r="E4">
        <v>50</v>
      </c>
      <c r="F4" s="2" t="s">
        <v>16</v>
      </c>
      <c r="G4">
        <v>1</v>
      </c>
      <c r="H4">
        <v>30</v>
      </c>
      <c r="I4">
        <v>30</v>
      </c>
      <c r="K4" s="26" t="s">
        <v>1028</v>
      </c>
      <c r="L4" s="26"/>
      <c r="M4" s="26"/>
      <c r="N4" s="26"/>
      <c r="O4" s="26" t="s">
        <v>1030</v>
      </c>
      <c r="P4" s="26"/>
    </row>
    <row r="5" spans="1:16" ht="18.75">
      <c r="A5" s="2">
        <v>4</v>
      </c>
      <c r="B5" s="1">
        <v>45067</v>
      </c>
      <c r="C5" t="s">
        <v>17</v>
      </c>
      <c r="D5" t="s">
        <v>10</v>
      </c>
      <c r="E5">
        <v>37</v>
      </c>
      <c r="F5" s="2" t="s">
        <v>14</v>
      </c>
      <c r="G5">
        <v>1</v>
      </c>
      <c r="H5">
        <v>500</v>
      </c>
      <c r="I5">
        <v>500</v>
      </c>
      <c r="K5" s="23" t="s">
        <v>1029</v>
      </c>
      <c r="L5" s="23"/>
      <c r="M5" s="23"/>
      <c r="N5" s="23"/>
      <c r="O5" s="27">
        <f>COUNTBLANK(Table46[#All])</f>
        <v>0</v>
      </c>
      <c r="P5" s="27"/>
    </row>
    <row r="6" spans="1:16" ht="18.75">
      <c r="A6" s="2">
        <v>5</v>
      </c>
      <c r="B6" s="1">
        <v>45052</v>
      </c>
      <c r="C6" t="s">
        <v>18</v>
      </c>
      <c r="D6" t="s">
        <v>10</v>
      </c>
      <c r="E6">
        <v>30</v>
      </c>
      <c r="F6" s="2" t="s">
        <v>11</v>
      </c>
      <c r="G6">
        <v>2</v>
      </c>
      <c r="H6">
        <v>50</v>
      </c>
      <c r="I6">
        <v>100</v>
      </c>
      <c r="K6" s="23" t="s">
        <v>1031</v>
      </c>
      <c r="L6" s="23"/>
      <c r="M6" s="23"/>
      <c r="N6" s="23"/>
      <c r="O6" s="27" t="s">
        <v>1032</v>
      </c>
      <c r="P6" s="27"/>
    </row>
    <row r="7" spans="1:16" ht="18.75">
      <c r="A7" s="2">
        <v>6</v>
      </c>
      <c r="B7" s="1">
        <v>45041</v>
      </c>
      <c r="C7" t="s">
        <v>19</v>
      </c>
      <c r="D7" t="s">
        <v>13</v>
      </c>
      <c r="E7">
        <v>45</v>
      </c>
      <c r="F7" s="2" t="s">
        <v>11</v>
      </c>
      <c r="G7">
        <v>1</v>
      </c>
      <c r="H7">
        <v>30</v>
      </c>
      <c r="I7">
        <v>30</v>
      </c>
      <c r="K7" s="23" t="s">
        <v>1033</v>
      </c>
      <c r="L7" s="23"/>
      <c r="M7" s="23"/>
      <c r="N7" s="23"/>
      <c r="O7" s="27">
        <f>COUNTIF(Table46[[#All],[Quantity]],"&lt;=0")</f>
        <v>0</v>
      </c>
      <c r="P7" s="27"/>
    </row>
    <row r="8" spans="1:16" ht="18.75">
      <c r="A8" s="2">
        <v>7</v>
      </c>
      <c r="B8" s="1">
        <v>44998</v>
      </c>
      <c r="C8" t="s">
        <v>20</v>
      </c>
      <c r="D8" t="s">
        <v>10</v>
      </c>
      <c r="E8">
        <v>46</v>
      </c>
      <c r="F8" s="2" t="s">
        <v>14</v>
      </c>
      <c r="G8">
        <v>2</v>
      </c>
      <c r="H8">
        <v>25</v>
      </c>
      <c r="I8">
        <v>50</v>
      </c>
      <c r="K8" s="23" t="s">
        <v>1034</v>
      </c>
      <c r="L8" s="23"/>
      <c r="M8" s="23"/>
      <c r="N8" s="23"/>
      <c r="O8" s="27">
        <f>COUNTIF(Table46[[#All],[Price per Unit]],"&lt;=0")</f>
        <v>0</v>
      </c>
      <c r="P8" s="27"/>
    </row>
    <row r="9" spans="1:16" ht="18.75">
      <c r="A9" s="2">
        <v>8</v>
      </c>
      <c r="B9" s="1">
        <v>44979</v>
      </c>
      <c r="C9" t="s">
        <v>21</v>
      </c>
      <c r="D9" t="s">
        <v>10</v>
      </c>
      <c r="E9">
        <v>30</v>
      </c>
      <c r="F9" s="2" t="s">
        <v>16</v>
      </c>
      <c r="G9">
        <v>4</v>
      </c>
      <c r="H9">
        <v>25</v>
      </c>
      <c r="I9">
        <v>100</v>
      </c>
      <c r="K9" s="23"/>
      <c r="L9" s="23"/>
      <c r="M9" s="23"/>
      <c r="N9" s="23"/>
    </row>
    <row r="10" spans="1:16">
      <c r="A10" s="2">
        <v>9</v>
      </c>
      <c r="B10" s="1">
        <v>45273</v>
      </c>
      <c r="C10" t="s">
        <v>22</v>
      </c>
      <c r="D10" t="s">
        <v>10</v>
      </c>
      <c r="E10">
        <v>63</v>
      </c>
      <c r="F10" s="2" t="s">
        <v>16</v>
      </c>
      <c r="G10">
        <v>2</v>
      </c>
      <c r="H10">
        <v>300</v>
      </c>
      <c r="I10">
        <v>600</v>
      </c>
    </row>
    <row r="11" spans="1:16">
      <c r="A11" s="2">
        <v>10</v>
      </c>
      <c r="B11" s="1">
        <v>45206</v>
      </c>
      <c r="C11" t="s">
        <v>23</v>
      </c>
      <c r="D11" t="s">
        <v>13</v>
      </c>
      <c r="E11">
        <v>52</v>
      </c>
      <c r="F11" s="2" t="s">
        <v>14</v>
      </c>
      <c r="G11">
        <v>4</v>
      </c>
      <c r="H11">
        <v>50</v>
      </c>
      <c r="I11">
        <v>200</v>
      </c>
    </row>
    <row r="12" spans="1:16">
      <c r="A12" s="2">
        <v>11</v>
      </c>
      <c r="B12" s="1">
        <v>44971</v>
      </c>
      <c r="C12" t="s">
        <v>24</v>
      </c>
      <c r="D12" t="s">
        <v>10</v>
      </c>
      <c r="E12">
        <v>23</v>
      </c>
      <c r="F12" s="2" t="s">
        <v>14</v>
      </c>
      <c r="G12">
        <v>2</v>
      </c>
      <c r="H12">
        <v>50</v>
      </c>
      <c r="I12">
        <v>100</v>
      </c>
    </row>
    <row r="13" spans="1:16">
      <c r="A13" s="2">
        <v>12</v>
      </c>
      <c r="B13" s="1">
        <v>45229</v>
      </c>
      <c r="C13" t="s">
        <v>25</v>
      </c>
      <c r="D13" t="s">
        <v>10</v>
      </c>
      <c r="E13">
        <v>35</v>
      </c>
      <c r="F13" s="2" t="s">
        <v>11</v>
      </c>
      <c r="G13">
        <v>3</v>
      </c>
      <c r="H13">
        <v>25</v>
      </c>
      <c r="I13">
        <v>75</v>
      </c>
    </row>
    <row r="14" spans="1:16">
      <c r="A14" s="2">
        <v>13</v>
      </c>
      <c r="B14" s="1">
        <v>45143</v>
      </c>
      <c r="C14" t="s">
        <v>26</v>
      </c>
      <c r="D14" t="s">
        <v>10</v>
      </c>
      <c r="E14">
        <v>22</v>
      </c>
      <c r="F14" s="2" t="s">
        <v>16</v>
      </c>
      <c r="G14">
        <v>3</v>
      </c>
      <c r="H14">
        <v>500</v>
      </c>
      <c r="I14">
        <v>1500</v>
      </c>
    </row>
    <row r="15" spans="1:16">
      <c r="A15" s="2">
        <v>14</v>
      </c>
      <c r="B15" s="1">
        <v>44943</v>
      </c>
      <c r="C15" t="s">
        <v>27</v>
      </c>
      <c r="D15" t="s">
        <v>10</v>
      </c>
      <c r="E15">
        <v>64</v>
      </c>
      <c r="F15" s="2" t="s">
        <v>14</v>
      </c>
      <c r="G15">
        <v>4</v>
      </c>
      <c r="H15">
        <v>30</v>
      </c>
      <c r="I15">
        <v>120</v>
      </c>
    </row>
    <row r="16" spans="1:16">
      <c r="A16" s="2">
        <v>15</v>
      </c>
      <c r="B16" s="1">
        <v>44942</v>
      </c>
      <c r="C16" t="s">
        <v>28</v>
      </c>
      <c r="D16" t="s">
        <v>13</v>
      </c>
      <c r="E16">
        <v>42</v>
      </c>
      <c r="F16" s="2" t="s">
        <v>16</v>
      </c>
      <c r="G16">
        <v>4</v>
      </c>
      <c r="H16">
        <v>500</v>
      </c>
      <c r="I16">
        <v>2000</v>
      </c>
    </row>
    <row r="17" spans="1:9">
      <c r="A17" s="2">
        <v>16</v>
      </c>
      <c r="B17" s="1">
        <v>44974</v>
      </c>
      <c r="C17" t="s">
        <v>29</v>
      </c>
      <c r="D17" t="s">
        <v>10</v>
      </c>
      <c r="E17">
        <v>19</v>
      </c>
      <c r="F17" s="2" t="s">
        <v>14</v>
      </c>
      <c r="G17">
        <v>3</v>
      </c>
      <c r="H17">
        <v>500</v>
      </c>
      <c r="I17">
        <v>1500</v>
      </c>
    </row>
    <row r="18" spans="1:9">
      <c r="A18" s="2">
        <v>17</v>
      </c>
      <c r="B18" s="1">
        <v>45038</v>
      </c>
      <c r="C18" t="s">
        <v>30</v>
      </c>
      <c r="D18" t="s">
        <v>13</v>
      </c>
      <c r="E18">
        <v>27</v>
      </c>
      <c r="F18" s="2" t="s">
        <v>14</v>
      </c>
      <c r="G18">
        <v>4</v>
      </c>
      <c r="H18">
        <v>25</v>
      </c>
      <c r="I18">
        <v>100</v>
      </c>
    </row>
    <row r="19" spans="1:9">
      <c r="A19" s="2">
        <v>18</v>
      </c>
      <c r="B19" s="1">
        <v>45046</v>
      </c>
      <c r="C19" t="s">
        <v>31</v>
      </c>
      <c r="D19" t="s">
        <v>13</v>
      </c>
      <c r="E19">
        <v>47</v>
      </c>
      <c r="F19" s="2" t="s">
        <v>16</v>
      </c>
      <c r="G19">
        <v>2</v>
      </c>
      <c r="H19">
        <v>25</v>
      </c>
      <c r="I19">
        <v>50</v>
      </c>
    </row>
    <row r="20" spans="1:9">
      <c r="A20" s="2">
        <v>19</v>
      </c>
      <c r="B20" s="1">
        <v>45185</v>
      </c>
      <c r="C20" t="s">
        <v>32</v>
      </c>
      <c r="D20" t="s">
        <v>13</v>
      </c>
      <c r="E20">
        <v>62</v>
      </c>
      <c r="F20" s="2" t="s">
        <v>14</v>
      </c>
      <c r="G20">
        <v>2</v>
      </c>
      <c r="H20">
        <v>25</v>
      </c>
      <c r="I20">
        <v>50</v>
      </c>
    </row>
    <row r="21" spans="1:9">
      <c r="A21" s="2">
        <v>20</v>
      </c>
      <c r="B21" s="1">
        <v>45235</v>
      </c>
      <c r="C21" t="s">
        <v>33</v>
      </c>
      <c r="D21" t="s">
        <v>10</v>
      </c>
      <c r="E21">
        <v>22</v>
      </c>
      <c r="F21" s="2" t="s">
        <v>14</v>
      </c>
      <c r="G21">
        <v>3</v>
      </c>
      <c r="H21">
        <v>300</v>
      </c>
      <c r="I21">
        <v>900</v>
      </c>
    </row>
    <row r="22" spans="1:9">
      <c r="A22" s="2">
        <v>21</v>
      </c>
      <c r="B22" s="1">
        <v>44940</v>
      </c>
      <c r="C22" t="s">
        <v>34</v>
      </c>
      <c r="D22" t="s">
        <v>13</v>
      </c>
      <c r="E22">
        <v>50</v>
      </c>
      <c r="F22" s="2" t="s">
        <v>11</v>
      </c>
      <c r="G22">
        <v>1</v>
      </c>
      <c r="H22">
        <v>500</v>
      </c>
      <c r="I22">
        <v>500</v>
      </c>
    </row>
    <row r="23" spans="1:9">
      <c r="A23" s="2">
        <v>22</v>
      </c>
      <c r="B23" s="1">
        <v>45214</v>
      </c>
      <c r="C23" t="s">
        <v>35</v>
      </c>
      <c r="D23" t="s">
        <v>10</v>
      </c>
      <c r="E23">
        <v>18</v>
      </c>
      <c r="F23" s="2" t="s">
        <v>14</v>
      </c>
      <c r="G23">
        <v>2</v>
      </c>
      <c r="H23">
        <v>50</v>
      </c>
      <c r="I23">
        <v>100</v>
      </c>
    </row>
    <row r="24" spans="1:9">
      <c r="A24" s="2">
        <v>23</v>
      </c>
      <c r="B24" s="1">
        <v>45028</v>
      </c>
      <c r="C24" t="s">
        <v>36</v>
      </c>
      <c r="D24" t="s">
        <v>13</v>
      </c>
      <c r="E24">
        <v>35</v>
      </c>
      <c r="F24" s="2" t="s">
        <v>14</v>
      </c>
      <c r="G24">
        <v>4</v>
      </c>
      <c r="H24">
        <v>30</v>
      </c>
      <c r="I24">
        <v>120</v>
      </c>
    </row>
    <row r="25" spans="1:9">
      <c r="A25" s="2">
        <v>24</v>
      </c>
      <c r="B25" s="1">
        <v>45259</v>
      </c>
      <c r="C25" t="s">
        <v>37</v>
      </c>
      <c r="D25" t="s">
        <v>13</v>
      </c>
      <c r="E25">
        <v>49</v>
      </c>
      <c r="F25" s="2" t="s">
        <v>14</v>
      </c>
      <c r="G25">
        <v>1</v>
      </c>
      <c r="H25">
        <v>300</v>
      </c>
      <c r="I25">
        <v>300</v>
      </c>
    </row>
    <row r="26" spans="1:9">
      <c r="A26" s="2">
        <v>25</v>
      </c>
      <c r="B26" s="1">
        <v>45286</v>
      </c>
      <c r="C26" t="s">
        <v>38</v>
      </c>
      <c r="D26" t="s">
        <v>13</v>
      </c>
      <c r="E26">
        <v>64</v>
      </c>
      <c r="F26" s="2" t="s">
        <v>11</v>
      </c>
      <c r="G26">
        <v>1</v>
      </c>
      <c r="H26">
        <v>50</v>
      </c>
      <c r="I26">
        <v>50</v>
      </c>
    </row>
    <row r="27" spans="1:9">
      <c r="A27" s="2">
        <v>26</v>
      </c>
      <c r="B27" s="1">
        <v>45206</v>
      </c>
      <c r="C27" t="s">
        <v>39</v>
      </c>
      <c r="D27" t="s">
        <v>13</v>
      </c>
      <c r="E27">
        <v>28</v>
      </c>
      <c r="F27" s="2" t="s">
        <v>16</v>
      </c>
      <c r="G27">
        <v>2</v>
      </c>
      <c r="H27">
        <v>500</v>
      </c>
      <c r="I27">
        <v>1000</v>
      </c>
    </row>
    <row r="28" spans="1:9">
      <c r="A28" s="2">
        <v>27</v>
      </c>
      <c r="B28" s="1">
        <v>45141</v>
      </c>
      <c r="C28" t="s">
        <v>40</v>
      </c>
      <c r="D28" t="s">
        <v>13</v>
      </c>
      <c r="E28">
        <v>38</v>
      </c>
      <c r="F28" s="2" t="s">
        <v>11</v>
      </c>
      <c r="G28">
        <v>2</v>
      </c>
      <c r="H28">
        <v>25</v>
      </c>
      <c r="I28">
        <v>50</v>
      </c>
    </row>
    <row r="29" spans="1:9">
      <c r="A29" s="2">
        <v>28</v>
      </c>
      <c r="B29" s="1">
        <v>45039</v>
      </c>
      <c r="C29" t="s">
        <v>41</v>
      </c>
      <c r="D29" t="s">
        <v>13</v>
      </c>
      <c r="E29">
        <v>43</v>
      </c>
      <c r="F29" s="2" t="s">
        <v>11</v>
      </c>
      <c r="G29">
        <v>1</v>
      </c>
      <c r="H29">
        <v>500</v>
      </c>
      <c r="I29">
        <v>500</v>
      </c>
    </row>
    <row r="30" spans="1:9">
      <c r="A30" s="2">
        <v>29</v>
      </c>
      <c r="B30" s="1">
        <v>45156</v>
      </c>
      <c r="C30" t="s">
        <v>42</v>
      </c>
      <c r="D30" t="s">
        <v>13</v>
      </c>
      <c r="E30">
        <v>42</v>
      </c>
      <c r="F30" s="2" t="s">
        <v>16</v>
      </c>
      <c r="G30">
        <v>1</v>
      </c>
      <c r="H30">
        <v>30</v>
      </c>
      <c r="I30">
        <v>30</v>
      </c>
    </row>
    <row r="31" spans="1:9">
      <c r="A31" s="2">
        <v>30</v>
      </c>
      <c r="B31" s="1">
        <v>45228</v>
      </c>
      <c r="C31" t="s">
        <v>43</v>
      </c>
      <c r="D31" t="s">
        <v>13</v>
      </c>
      <c r="E31">
        <v>39</v>
      </c>
      <c r="F31" s="2" t="s">
        <v>11</v>
      </c>
      <c r="G31">
        <v>3</v>
      </c>
      <c r="H31">
        <v>300</v>
      </c>
      <c r="I31">
        <v>900</v>
      </c>
    </row>
    <row r="32" spans="1:9">
      <c r="A32" s="2">
        <v>31</v>
      </c>
      <c r="B32" s="1">
        <v>45069</v>
      </c>
      <c r="C32" t="s">
        <v>44</v>
      </c>
      <c r="D32" t="s">
        <v>10</v>
      </c>
      <c r="E32">
        <v>44</v>
      </c>
      <c r="F32" s="2" t="s">
        <v>16</v>
      </c>
      <c r="G32">
        <v>4</v>
      </c>
      <c r="H32">
        <v>300</v>
      </c>
      <c r="I32">
        <v>1200</v>
      </c>
    </row>
    <row r="33" spans="1:9">
      <c r="A33" s="2">
        <v>32</v>
      </c>
      <c r="B33" s="1">
        <v>44930</v>
      </c>
      <c r="C33" t="s">
        <v>45</v>
      </c>
      <c r="D33" t="s">
        <v>10</v>
      </c>
      <c r="E33">
        <v>30</v>
      </c>
      <c r="F33" s="2" t="s">
        <v>11</v>
      </c>
      <c r="G33">
        <v>3</v>
      </c>
      <c r="H33">
        <v>30</v>
      </c>
      <c r="I33">
        <v>90</v>
      </c>
    </row>
    <row r="34" spans="1:9">
      <c r="A34" s="2">
        <v>33</v>
      </c>
      <c r="B34" s="1">
        <v>45008</v>
      </c>
      <c r="C34" t="s">
        <v>46</v>
      </c>
      <c r="D34" t="s">
        <v>13</v>
      </c>
      <c r="E34">
        <v>50</v>
      </c>
      <c r="F34" s="2" t="s">
        <v>16</v>
      </c>
      <c r="G34">
        <v>2</v>
      </c>
      <c r="H34">
        <v>50</v>
      </c>
      <c r="I34">
        <v>100</v>
      </c>
    </row>
    <row r="35" spans="1:9">
      <c r="A35" s="2">
        <v>34</v>
      </c>
      <c r="B35" s="1">
        <v>45284</v>
      </c>
      <c r="C35" t="s">
        <v>47</v>
      </c>
      <c r="D35" t="s">
        <v>13</v>
      </c>
      <c r="E35">
        <v>51</v>
      </c>
      <c r="F35" s="2" t="s">
        <v>14</v>
      </c>
      <c r="G35">
        <v>3</v>
      </c>
      <c r="H35">
        <v>50</v>
      </c>
      <c r="I35">
        <v>150</v>
      </c>
    </row>
    <row r="36" spans="1:9">
      <c r="A36" s="2">
        <v>35</v>
      </c>
      <c r="B36" s="1">
        <v>45143</v>
      </c>
      <c r="C36" t="s">
        <v>48</v>
      </c>
      <c r="D36" t="s">
        <v>13</v>
      </c>
      <c r="E36">
        <v>58</v>
      </c>
      <c r="F36" s="2" t="s">
        <v>11</v>
      </c>
      <c r="G36">
        <v>3</v>
      </c>
      <c r="H36">
        <v>300</v>
      </c>
      <c r="I36">
        <v>900</v>
      </c>
    </row>
    <row r="37" spans="1:9">
      <c r="A37" s="2">
        <v>36</v>
      </c>
      <c r="B37" s="1">
        <v>45101</v>
      </c>
      <c r="C37" t="s">
        <v>49</v>
      </c>
      <c r="D37" t="s">
        <v>10</v>
      </c>
      <c r="E37">
        <v>52</v>
      </c>
      <c r="F37" s="2" t="s">
        <v>11</v>
      </c>
      <c r="G37">
        <v>3</v>
      </c>
      <c r="H37">
        <v>300</v>
      </c>
      <c r="I37">
        <v>900</v>
      </c>
    </row>
    <row r="38" spans="1:9">
      <c r="A38" s="2">
        <v>37</v>
      </c>
      <c r="B38" s="1">
        <v>45069</v>
      </c>
      <c r="C38" t="s">
        <v>50</v>
      </c>
      <c r="D38" t="s">
        <v>13</v>
      </c>
      <c r="E38">
        <v>18</v>
      </c>
      <c r="F38" s="2" t="s">
        <v>11</v>
      </c>
      <c r="G38">
        <v>3</v>
      </c>
      <c r="H38">
        <v>25</v>
      </c>
      <c r="I38">
        <v>75</v>
      </c>
    </row>
    <row r="39" spans="1:9">
      <c r="A39" s="2">
        <v>38</v>
      </c>
      <c r="B39" s="1">
        <v>45006</v>
      </c>
      <c r="C39" t="s">
        <v>51</v>
      </c>
      <c r="D39" t="s">
        <v>10</v>
      </c>
      <c r="E39">
        <v>38</v>
      </c>
      <c r="F39" s="2" t="s">
        <v>11</v>
      </c>
      <c r="G39">
        <v>4</v>
      </c>
      <c r="H39">
        <v>50</v>
      </c>
      <c r="I39">
        <v>200</v>
      </c>
    </row>
    <row r="40" spans="1:9">
      <c r="A40" s="2">
        <v>39</v>
      </c>
      <c r="B40" s="1">
        <v>45037</v>
      </c>
      <c r="C40" t="s">
        <v>52</v>
      </c>
      <c r="D40" t="s">
        <v>10</v>
      </c>
      <c r="E40">
        <v>23</v>
      </c>
      <c r="F40" s="2" t="s">
        <v>14</v>
      </c>
      <c r="G40">
        <v>4</v>
      </c>
      <c r="H40">
        <v>30</v>
      </c>
      <c r="I40">
        <v>120</v>
      </c>
    </row>
    <row r="41" spans="1:9">
      <c r="A41" s="2">
        <v>40</v>
      </c>
      <c r="B41" s="1">
        <v>45099</v>
      </c>
      <c r="C41" t="s">
        <v>53</v>
      </c>
      <c r="D41" t="s">
        <v>10</v>
      </c>
      <c r="E41">
        <v>45</v>
      </c>
      <c r="F41" s="2" t="s">
        <v>11</v>
      </c>
      <c r="G41">
        <v>1</v>
      </c>
      <c r="H41">
        <v>50</v>
      </c>
      <c r="I41">
        <v>50</v>
      </c>
    </row>
    <row r="42" spans="1:9">
      <c r="A42" s="2">
        <v>41</v>
      </c>
      <c r="B42" s="1">
        <v>44979</v>
      </c>
      <c r="C42" t="s">
        <v>54</v>
      </c>
      <c r="D42" t="s">
        <v>10</v>
      </c>
      <c r="E42">
        <v>34</v>
      </c>
      <c r="F42" s="2" t="s">
        <v>14</v>
      </c>
      <c r="G42">
        <v>2</v>
      </c>
      <c r="H42">
        <v>25</v>
      </c>
      <c r="I42">
        <v>50</v>
      </c>
    </row>
    <row r="43" spans="1:9">
      <c r="A43" s="2">
        <v>42</v>
      </c>
      <c r="B43" s="1">
        <v>44974</v>
      </c>
      <c r="C43" t="s">
        <v>55</v>
      </c>
      <c r="D43" t="s">
        <v>10</v>
      </c>
      <c r="E43">
        <v>22</v>
      </c>
      <c r="F43" s="2" t="s">
        <v>14</v>
      </c>
      <c r="G43">
        <v>3</v>
      </c>
      <c r="H43">
        <v>300</v>
      </c>
      <c r="I43">
        <v>900</v>
      </c>
    </row>
    <row r="44" spans="1:9">
      <c r="A44" s="2">
        <v>43</v>
      </c>
      <c r="B44" s="1">
        <v>45121</v>
      </c>
      <c r="C44" t="s">
        <v>56</v>
      </c>
      <c r="D44" t="s">
        <v>13</v>
      </c>
      <c r="E44">
        <v>48</v>
      </c>
      <c r="F44" s="2" t="s">
        <v>14</v>
      </c>
      <c r="G44">
        <v>1</v>
      </c>
      <c r="H44">
        <v>300</v>
      </c>
      <c r="I44">
        <v>300</v>
      </c>
    </row>
    <row r="45" spans="1:9">
      <c r="A45" s="2">
        <v>44</v>
      </c>
      <c r="B45" s="1">
        <v>44976</v>
      </c>
      <c r="C45" t="s">
        <v>57</v>
      </c>
      <c r="D45" t="s">
        <v>13</v>
      </c>
      <c r="E45">
        <v>22</v>
      </c>
      <c r="F45" s="2" t="s">
        <v>14</v>
      </c>
      <c r="G45">
        <v>1</v>
      </c>
      <c r="H45">
        <v>25</v>
      </c>
      <c r="I45">
        <v>25</v>
      </c>
    </row>
    <row r="46" spans="1:9">
      <c r="A46" s="2">
        <v>45</v>
      </c>
      <c r="B46" s="1">
        <v>45110</v>
      </c>
      <c r="C46" t="s">
        <v>58</v>
      </c>
      <c r="D46" t="s">
        <v>13</v>
      </c>
      <c r="E46">
        <v>55</v>
      </c>
      <c r="F46" s="2" t="s">
        <v>16</v>
      </c>
      <c r="G46">
        <v>1</v>
      </c>
      <c r="H46">
        <v>30</v>
      </c>
      <c r="I46">
        <v>30</v>
      </c>
    </row>
    <row r="47" spans="1:9">
      <c r="A47" s="2">
        <v>46</v>
      </c>
      <c r="B47" s="1">
        <v>45103</v>
      </c>
      <c r="C47" t="s">
        <v>59</v>
      </c>
      <c r="D47" t="s">
        <v>13</v>
      </c>
      <c r="E47">
        <v>20</v>
      </c>
      <c r="F47" s="2" t="s">
        <v>16</v>
      </c>
      <c r="G47">
        <v>4</v>
      </c>
      <c r="H47">
        <v>300</v>
      </c>
      <c r="I47">
        <v>1200</v>
      </c>
    </row>
    <row r="48" spans="1:9">
      <c r="A48" s="2">
        <v>47</v>
      </c>
      <c r="B48" s="1">
        <v>45236</v>
      </c>
      <c r="C48" t="s">
        <v>60</v>
      </c>
      <c r="D48" t="s">
        <v>13</v>
      </c>
      <c r="E48">
        <v>40</v>
      </c>
      <c r="F48" s="2" t="s">
        <v>11</v>
      </c>
      <c r="G48">
        <v>3</v>
      </c>
      <c r="H48">
        <v>500</v>
      </c>
      <c r="I48">
        <v>1500</v>
      </c>
    </row>
    <row r="49" spans="1:9">
      <c r="A49" s="2">
        <v>48</v>
      </c>
      <c r="B49" s="1">
        <v>45062</v>
      </c>
      <c r="C49" t="s">
        <v>61</v>
      </c>
      <c r="D49" t="s">
        <v>10</v>
      </c>
      <c r="E49">
        <v>54</v>
      </c>
      <c r="F49" s="2" t="s">
        <v>16</v>
      </c>
      <c r="G49">
        <v>3</v>
      </c>
      <c r="H49">
        <v>300</v>
      </c>
      <c r="I49">
        <v>900</v>
      </c>
    </row>
    <row r="50" spans="1:9">
      <c r="A50" s="2">
        <v>49</v>
      </c>
      <c r="B50" s="1">
        <v>44949</v>
      </c>
      <c r="C50" t="s">
        <v>62</v>
      </c>
      <c r="D50" t="s">
        <v>13</v>
      </c>
      <c r="E50">
        <v>54</v>
      </c>
      <c r="F50" s="2" t="s">
        <v>16</v>
      </c>
      <c r="G50">
        <v>2</v>
      </c>
      <c r="H50">
        <v>500</v>
      </c>
      <c r="I50">
        <v>1000</v>
      </c>
    </row>
    <row r="51" spans="1:9">
      <c r="A51" s="2">
        <v>50</v>
      </c>
      <c r="B51" s="1">
        <v>45162</v>
      </c>
      <c r="C51" t="s">
        <v>63</v>
      </c>
      <c r="D51" t="s">
        <v>13</v>
      </c>
      <c r="E51">
        <v>27</v>
      </c>
      <c r="F51" s="2" t="s">
        <v>11</v>
      </c>
      <c r="G51">
        <v>3</v>
      </c>
      <c r="H51">
        <v>25</v>
      </c>
      <c r="I51">
        <v>75</v>
      </c>
    </row>
    <row r="52" spans="1:9">
      <c r="A52" s="2">
        <v>51</v>
      </c>
      <c r="B52" s="1">
        <v>45201</v>
      </c>
      <c r="C52" t="s">
        <v>64</v>
      </c>
      <c r="D52" t="s">
        <v>10</v>
      </c>
      <c r="E52">
        <v>27</v>
      </c>
      <c r="F52" s="2" t="s">
        <v>11</v>
      </c>
      <c r="G52">
        <v>3</v>
      </c>
      <c r="H52">
        <v>25</v>
      </c>
      <c r="I52">
        <v>75</v>
      </c>
    </row>
    <row r="53" spans="1:9">
      <c r="A53" s="2">
        <v>52</v>
      </c>
      <c r="B53" s="1">
        <v>44990</v>
      </c>
      <c r="C53" t="s">
        <v>65</v>
      </c>
      <c r="D53" t="s">
        <v>13</v>
      </c>
      <c r="E53">
        <v>36</v>
      </c>
      <c r="F53" s="2" t="s">
        <v>11</v>
      </c>
      <c r="G53">
        <v>1</v>
      </c>
      <c r="H53">
        <v>300</v>
      </c>
      <c r="I53">
        <v>300</v>
      </c>
    </row>
    <row r="54" spans="1:9">
      <c r="A54" s="2">
        <v>53</v>
      </c>
      <c r="B54" s="1">
        <v>45120</v>
      </c>
      <c r="C54" t="s">
        <v>66</v>
      </c>
      <c r="D54" t="s">
        <v>10</v>
      </c>
      <c r="E54">
        <v>34</v>
      </c>
      <c r="F54" s="2" t="s">
        <v>16</v>
      </c>
      <c r="G54">
        <v>2</v>
      </c>
      <c r="H54">
        <v>50</v>
      </c>
      <c r="I54">
        <v>100</v>
      </c>
    </row>
    <row r="55" spans="1:9">
      <c r="A55" s="2">
        <v>54</v>
      </c>
      <c r="B55" s="1">
        <v>44967</v>
      </c>
      <c r="C55" t="s">
        <v>67</v>
      </c>
      <c r="D55" t="s">
        <v>13</v>
      </c>
      <c r="E55">
        <v>38</v>
      </c>
      <c r="F55" s="2" t="s">
        <v>16</v>
      </c>
      <c r="G55">
        <v>3</v>
      </c>
      <c r="H55">
        <v>500</v>
      </c>
      <c r="I55">
        <v>1500</v>
      </c>
    </row>
    <row r="56" spans="1:9">
      <c r="A56" s="2">
        <v>55</v>
      </c>
      <c r="B56" s="1">
        <v>45209</v>
      </c>
      <c r="C56" t="s">
        <v>68</v>
      </c>
      <c r="D56" t="s">
        <v>10</v>
      </c>
      <c r="E56">
        <v>31</v>
      </c>
      <c r="F56" s="2" t="s">
        <v>11</v>
      </c>
      <c r="G56">
        <v>4</v>
      </c>
      <c r="H56">
        <v>30</v>
      </c>
      <c r="I56">
        <v>120</v>
      </c>
    </row>
    <row r="57" spans="1:9">
      <c r="A57" s="2">
        <v>56</v>
      </c>
      <c r="B57" s="1">
        <v>45077</v>
      </c>
      <c r="C57" t="s">
        <v>69</v>
      </c>
      <c r="D57" t="s">
        <v>13</v>
      </c>
      <c r="E57">
        <v>26</v>
      </c>
      <c r="F57" s="2" t="s">
        <v>14</v>
      </c>
      <c r="G57">
        <v>3</v>
      </c>
      <c r="H57">
        <v>300</v>
      </c>
      <c r="I57">
        <v>900</v>
      </c>
    </row>
    <row r="58" spans="1:9">
      <c r="A58" s="2">
        <v>57</v>
      </c>
      <c r="B58" s="1">
        <v>45248</v>
      </c>
      <c r="C58" t="s">
        <v>70</v>
      </c>
      <c r="D58" t="s">
        <v>13</v>
      </c>
      <c r="E58">
        <v>63</v>
      </c>
      <c r="F58" s="2" t="s">
        <v>11</v>
      </c>
      <c r="G58">
        <v>1</v>
      </c>
      <c r="H58">
        <v>30</v>
      </c>
      <c r="I58">
        <v>30</v>
      </c>
    </row>
    <row r="59" spans="1:9">
      <c r="A59" s="2">
        <v>58</v>
      </c>
      <c r="B59" s="1">
        <v>45243</v>
      </c>
      <c r="C59" t="s">
        <v>71</v>
      </c>
      <c r="D59" t="s">
        <v>10</v>
      </c>
      <c r="E59">
        <v>18</v>
      </c>
      <c r="F59" s="2" t="s">
        <v>14</v>
      </c>
      <c r="G59">
        <v>4</v>
      </c>
      <c r="H59">
        <v>300</v>
      </c>
      <c r="I59">
        <v>1200</v>
      </c>
    </row>
    <row r="60" spans="1:9">
      <c r="A60" s="2">
        <v>59</v>
      </c>
      <c r="B60" s="1">
        <v>45112</v>
      </c>
      <c r="C60" t="s">
        <v>72</v>
      </c>
      <c r="D60" t="s">
        <v>10</v>
      </c>
      <c r="E60">
        <v>62</v>
      </c>
      <c r="F60" s="2" t="s">
        <v>14</v>
      </c>
      <c r="G60">
        <v>1</v>
      </c>
      <c r="H60">
        <v>50</v>
      </c>
      <c r="I60">
        <v>50</v>
      </c>
    </row>
    <row r="61" spans="1:9">
      <c r="A61" s="2">
        <v>60</v>
      </c>
      <c r="B61" s="1">
        <v>45222</v>
      </c>
      <c r="C61" t="s">
        <v>73</v>
      </c>
      <c r="D61" t="s">
        <v>10</v>
      </c>
      <c r="E61">
        <v>30</v>
      </c>
      <c r="F61" s="2" t="s">
        <v>11</v>
      </c>
      <c r="G61">
        <v>3</v>
      </c>
      <c r="H61">
        <v>50</v>
      </c>
      <c r="I61">
        <v>150</v>
      </c>
    </row>
    <row r="62" spans="1:9">
      <c r="A62" s="2">
        <v>61</v>
      </c>
      <c r="B62" s="1">
        <v>45025</v>
      </c>
      <c r="C62" t="s">
        <v>74</v>
      </c>
      <c r="D62" t="s">
        <v>10</v>
      </c>
      <c r="E62">
        <v>21</v>
      </c>
      <c r="F62" s="2" t="s">
        <v>11</v>
      </c>
      <c r="G62">
        <v>4</v>
      </c>
      <c r="H62">
        <v>50</v>
      </c>
      <c r="I62">
        <v>200</v>
      </c>
    </row>
    <row r="63" spans="1:9">
      <c r="A63" s="2">
        <v>62</v>
      </c>
      <c r="B63" s="1">
        <v>45287</v>
      </c>
      <c r="C63" t="s">
        <v>75</v>
      </c>
      <c r="D63" t="s">
        <v>10</v>
      </c>
      <c r="E63">
        <v>18</v>
      </c>
      <c r="F63" s="2" t="s">
        <v>11</v>
      </c>
      <c r="G63">
        <v>2</v>
      </c>
      <c r="H63">
        <v>50</v>
      </c>
      <c r="I63">
        <v>100</v>
      </c>
    </row>
    <row r="64" spans="1:9">
      <c r="A64" s="2">
        <v>63</v>
      </c>
      <c r="B64" s="1">
        <v>44962</v>
      </c>
      <c r="C64" t="s">
        <v>76</v>
      </c>
      <c r="D64" t="s">
        <v>10</v>
      </c>
      <c r="E64">
        <v>57</v>
      </c>
      <c r="F64" s="2" t="s">
        <v>16</v>
      </c>
      <c r="G64">
        <v>2</v>
      </c>
      <c r="H64">
        <v>25</v>
      </c>
      <c r="I64">
        <v>50</v>
      </c>
    </row>
    <row r="65" spans="1:9">
      <c r="A65" s="2">
        <v>64</v>
      </c>
      <c r="B65" s="1">
        <v>44950</v>
      </c>
      <c r="C65" t="s">
        <v>77</v>
      </c>
      <c r="D65" t="s">
        <v>10</v>
      </c>
      <c r="E65">
        <v>49</v>
      </c>
      <c r="F65" s="2" t="s">
        <v>14</v>
      </c>
      <c r="G65">
        <v>4</v>
      </c>
      <c r="H65">
        <v>25</v>
      </c>
      <c r="I65">
        <v>100</v>
      </c>
    </row>
    <row r="66" spans="1:9">
      <c r="A66" s="2">
        <v>65</v>
      </c>
      <c r="B66" s="1">
        <v>45265</v>
      </c>
      <c r="C66" t="s">
        <v>78</v>
      </c>
      <c r="D66" t="s">
        <v>10</v>
      </c>
      <c r="E66">
        <v>51</v>
      </c>
      <c r="F66" s="2" t="s">
        <v>16</v>
      </c>
      <c r="G66">
        <v>4</v>
      </c>
      <c r="H66">
        <v>500</v>
      </c>
      <c r="I66">
        <v>2000</v>
      </c>
    </row>
    <row r="67" spans="1:9">
      <c r="A67" s="2">
        <v>66</v>
      </c>
      <c r="B67" s="1">
        <v>45043</v>
      </c>
      <c r="C67" t="s">
        <v>79</v>
      </c>
      <c r="D67" t="s">
        <v>13</v>
      </c>
      <c r="E67">
        <v>45</v>
      </c>
      <c r="F67" s="2" t="s">
        <v>16</v>
      </c>
      <c r="G67">
        <v>1</v>
      </c>
      <c r="H67">
        <v>30</v>
      </c>
      <c r="I67">
        <v>30</v>
      </c>
    </row>
    <row r="68" spans="1:9">
      <c r="A68" s="2">
        <v>67</v>
      </c>
      <c r="B68" s="1">
        <v>45075</v>
      </c>
      <c r="C68" t="s">
        <v>80</v>
      </c>
      <c r="D68" t="s">
        <v>13</v>
      </c>
      <c r="E68">
        <v>48</v>
      </c>
      <c r="F68" s="2" t="s">
        <v>11</v>
      </c>
      <c r="G68">
        <v>4</v>
      </c>
      <c r="H68">
        <v>300</v>
      </c>
      <c r="I68">
        <v>1200</v>
      </c>
    </row>
    <row r="69" spans="1:9">
      <c r="A69" s="2">
        <v>68</v>
      </c>
      <c r="B69" s="1">
        <v>44967</v>
      </c>
      <c r="C69" t="s">
        <v>81</v>
      </c>
      <c r="D69" t="s">
        <v>10</v>
      </c>
      <c r="E69">
        <v>25</v>
      </c>
      <c r="F69" s="2" t="s">
        <v>16</v>
      </c>
      <c r="G69">
        <v>1</v>
      </c>
      <c r="H69">
        <v>300</v>
      </c>
      <c r="I69">
        <v>300</v>
      </c>
    </row>
    <row r="70" spans="1:9">
      <c r="A70" s="2">
        <v>69</v>
      </c>
      <c r="B70" s="1">
        <v>45046</v>
      </c>
      <c r="C70" t="s">
        <v>82</v>
      </c>
      <c r="D70" t="s">
        <v>13</v>
      </c>
      <c r="E70">
        <v>56</v>
      </c>
      <c r="F70" s="2" t="s">
        <v>11</v>
      </c>
      <c r="G70">
        <v>3</v>
      </c>
      <c r="H70">
        <v>25</v>
      </c>
      <c r="I70">
        <v>75</v>
      </c>
    </row>
    <row r="71" spans="1:9">
      <c r="A71" s="2">
        <v>70</v>
      </c>
      <c r="B71" s="1">
        <v>44978</v>
      </c>
      <c r="C71" t="s">
        <v>83</v>
      </c>
      <c r="D71" t="s">
        <v>13</v>
      </c>
      <c r="E71">
        <v>43</v>
      </c>
      <c r="F71" s="2" t="s">
        <v>14</v>
      </c>
      <c r="G71">
        <v>1</v>
      </c>
      <c r="H71">
        <v>300</v>
      </c>
      <c r="I71">
        <v>300</v>
      </c>
    </row>
    <row r="72" spans="1:9">
      <c r="A72" s="2">
        <v>71</v>
      </c>
      <c r="B72" s="1">
        <v>45121</v>
      </c>
      <c r="C72" t="s">
        <v>84</v>
      </c>
      <c r="D72" t="s">
        <v>13</v>
      </c>
      <c r="E72">
        <v>51</v>
      </c>
      <c r="F72" s="2" t="s">
        <v>11</v>
      </c>
      <c r="G72">
        <v>4</v>
      </c>
      <c r="H72">
        <v>25</v>
      </c>
      <c r="I72">
        <v>100</v>
      </c>
    </row>
    <row r="73" spans="1:9">
      <c r="A73" s="2">
        <v>72</v>
      </c>
      <c r="B73" s="1">
        <v>45069</v>
      </c>
      <c r="C73" t="s">
        <v>85</v>
      </c>
      <c r="D73" t="s">
        <v>13</v>
      </c>
      <c r="E73">
        <v>20</v>
      </c>
      <c r="F73" s="2" t="s">
        <v>16</v>
      </c>
      <c r="G73">
        <v>4</v>
      </c>
      <c r="H73">
        <v>500</v>
      </c>
      <c r="I73">
        <v>2000</v>
      </c>
    </row>
    <row r="74" spans="1:9">
      <c r="A74" s="2">
        <v>73</v>
      </c>
      <c r="B74" s="1">
        <v>45159</v>
      </c>
      <c r="C74" t="s">
        <v>86</v>
      </c>
      <c r="D74" t="s">
        <v>10</v>
      </c>
      <c r="E74">
        <v>29</v>
      </c>
      <c r="F74" s="2" t="s">
        <v>16</v>
      </c>
      <c r="G74">
        <v>3</v>
      </c>
      <c r="H74">
        <v>30</v>
      </c>
      <c r="I74">
        <v>90</v>
      </c>
    </row>
    <row r="75" spans="1:9">
      <c r="A75" s="2">
        <v>74</v>
      </c>
      <c r="B75" s="1">
        <v>45252</v>
      </c>
      <c r="C75" t="s">
        <v>87</v>
      </c>
      <c r="D75" t="s">
        <v>13</v>
      </c>
      <c r="E75">
        <v>18</v>
      </c>
      <c r="F75" s="2" t="s">
        <v>11</v>
      </c>
      <c r="G75">
        <v>4</v>
      </c>
      <c r="H75">
        <v>500</v>
      </c>
      <c r="I75">
        <v>2000</v>
      </c>
    </row>
    <row r="76" spans="1:9">
      <c r="A76" s="2">
        <v>75</v>
      </c>
      <c r="B76" s="1">
        <v>45113</v>
      </c>
      <c r="C76" t="s">
        <v>88</v>
      </c>
      <c r="D76" t="s">
        <v>10</v>
      </c>
      <c r="E76">
        <v>61</v>
      </c>
      <c r="F76" s="2" t="s">
        <v>11</v>
      </c>
      <c r="G76">
        <v>4</v>
      </c>
      <c r="H76">
        <v>50</v>
      </c>
      <c r="I76">
        <v>200</v>
      </c>
    </row>
    <row r="77" spans="1:9">
      <c r="A77" s="2">
        <v>76</v>
      </c>
      <c r="B77" s="1">
        <v>45010</v>
      </c>
      <c r="C77" t="s">
        <v>89</v>
      </c>
      <c r="D77" t="s">
        <v>13</v>
      </c>
      <c r="E77">
        <v>22</v>
      </c>
      <c r="F77" s="2" t="s">
        <v>16</v>
      </c>
      <c r="G77">
        <v>2</v>
      </c>
      <c r="H77">
        <v>50</v>
      </c>
      <c r="I77">
        <v>100</v>
      </c>
    </row>
    <row r="78" spans="1:9">
      <c r="A78" s="2">
        <v>77</v>
      </c>
      <c r="B78" s="1">
        <v>45116</v>
      </c>
      <c r="C78" t="s">
        <v>90</v>
      </c>
      <c r="D78" t="s">
        <v>13</v>
      </c>
      <c r="E78">
        <v>47</v>
      </c>
      <c r="F78" s="2" t="s">
        <v>14</v>
      </c>
      <c r="G78">
        <v>2</v>
      </c>
      <c r="H78">
        <v>50</v>
      </c>
      <c r="I78">
        <v>100</v>
      </c>
    </row>
    <row r="79" spans="1:9">
      <c r="A79" s="2">
        <v>78</v>
      </c>
      <c r="B79" s="1">
        <v>45108</v>
      </c>
      <c r="C79" t="s">
        <v>91</v>
      </c>
      <c r="D79" t="s">
        <v>13</v>
      </c>
      <c r="E79">
        <v>47</v>
      </c>
      <c r="F79" s="2" t="s">
        <v>14</v>
      </c>
      <c r="G79">
        <v>3</v>
      </c>
      <c r="H79">
        <v>500</v>
      </c>
      <c r="I79">
        <v>1500</v>
      </c>
    </row>
    <row r="80" spans="1:9">
      <c r="A80" s="2">
        <v>79</v>
      </c>
      <c r="B80" s="1">
        <v>45034</v>
      </c>
      <c r="C80" t="s">
        <v>92</v>
      </c>
      <c r="D80" t="s">
        <v>10</v>
      </c>
      <c r="E80">
        <v>34</v>
      </c>
      <c r="F80" s="2" t="s">
        <v>11</v>
      </c>
      <c r="G80">
        <v>1</v>
      </c>
      <c r="H80">
        <v>300</v>
      </c>
      <c r="I80">
        <v>300</v>
      </c>
    </row>
    <row r="81" spans="1:9">
      <c r="A81" s="2">
        <v>80</v>
      </c>
      <c r="B81" s="1">
        <v>45270</v>
      </c>
      <c r="C81" t="s">
        <v>93</v>
      </c>
      <c r="D81" t="s">
        <v>13</v>
      </c>
      <c r="E81">
        <v>64</v>
      </c>
      <c r="F81" s="2" t="s">
        <v>14</v>
      </c>
      <c r="G81">
        <v>2</v>
      </c>
      <c r="H81">
        <v>30</v>
      </c>
      <c r="I81">
        <v>60</v>
      </c>
    </row>
    <row r="82" spans="1:9">
      <c r="A82" s="2">
        <v>81</v>
      </c>
      <c r="B82" s="1">
        <v>45063</v>
      </c>
      <c r="C82" t="s">
        <v>94</v>
      </c>
      <c r="D82" t="s">
        <v>10</v>
      </c>
      <c r="E82">
        <v>40</v>
      </c>
      <c r="F82" s="2" t="s">
        <v>16</v>
      </c>
      <c r="G82">
        <v>1</v>
      </c>
      <c r="H82">
        <v>50</v>
      </c>
      <c r="I82">
        <v>50</v>
      </c>
    </row>
    <row r="83" spans="1:9">
      <c r="A83" s="2">
        <v>82</v>
      </c>
      <c r="B83" s="1">
        <v>45286</v>
      </c>
      <c r="C83" t="s">
        <v>95</v>
      </c>
      <c r="D83" t="s">
        <v>13</v>
      </c>
      <c r="E83">
        <v>32</v>
      </c>
      <c r="F83" s="2" t="s">
        <v>11</v>
      </c>
      <c r="G83">
        <v>4</v>
      </c>
      <c r="H83">
        <v>50</v>
      </c>
      <c r="I83">
        <v>200</v>
      </c>
    </row>
    <row r="84" spans="1:9">
      <c r="A84" s="2">
        <v>83</v>
      </c>
      <c r="B84" s="1">
        <v>45276</v>
      </c>
      <c r="C84" t="s">
        <v>96</v>
      </c>
      <c r="D84" t="s">
        <v>10</v>
      </c>
      <c r="E84">
        <v>54</v>
      </c>
      <c r="F84" s="2" t="s">
        <v>16</v>
      </c>
      <c r="G84">
        <v>2</v>
      </c>
      <c r="H84">
        <v>50</v>
      </c>
      <c r="I84">
        <v>100</v>
      </c>
    </row>
    <row r="85" spans="1:9">
      <c r="A85" s="2">
        <v>84</v>
      </c>
      <c r="B85" s="1">
        <v>45258</v>
      </c>
      <c r="C85" t="s">
        <v>97</v>
      </c>
      <c r="D85" t="s">
        <v>13</v>
      </c>
      <c r="E85">
        <v>38</v>
      </c>
      <c r="F85" s="2" t="s">
        <v>16</v>
      </c>
      <c r="G85">
        <v>3</v>
      </c>
      <c r="H85">
        <v>30</v>
      </c>
      <c r="I85">
        <v>90</v>
      </c>
    </row>
    <row r="86" spans="1:9">
      <c r="A86" s="2">
        <v>85</v>
      </c>
      <c r="B86" s="1">
        <v>44963</v>
      </c>
      <c r="C86" t="s">
        <v>98</v>
      </c>
      <c r="D86" t="s">
        <v>10</v>
      </c>
      <c r="E86">
        <v>31</v>
      </c>
      <c r="F86" s="2" t="s">
        <v>14</v>
      </c>
      <c r="G86">
        <v>3</v>
      </c>
      <c r="H86">
        <v>50</v>
      </c>
      <c r="I86">
        <v>150</v>
      </c>
    </row>
    <row r="87" spans="1:9">
      <c r="A87" s="2">
        <v>86</v>
      </c>
      <c r="B87" s="1">
        <v>45238</v>
      </c>
      <c r="C87" t="s">
        <v>99</v>
      </c>
      <c r="D87" t="s">
        <v>10</v>
      </c>
      <c r="E87">
        <v>19</v>
      </c>
      <c r="F87" s="2" t="s">
        <v>11</v>
      </c>
      <c r="G87">
        <v>3</v>
      </c>
      <c r="H87">
        <v>30</v>
      </c>
      <c r="I87">
        <v>90</v>
      </c>
    </row>
    <row r="88" spans="1:9">
      <c r="A88" s="2">
        <v>87</v>
      </c>
      <c r="B88" s="1">
        <v>45252</v>
      </c>
      <c r="C88" t="s">
        <v>100</v>
      </c>
      <c r="D88" t="s">
        <v>13</v>
      </c>
      <c r="E88">
        <v>28</v>
      </c>
      <c r="F88" s="2" t="s">
        <v>11</v>
      </c>
      <c r="G88">
        <v>2</v>
      </c>
      <c r="H88">
        <v>50</v>
      </c>
      <c r="I88">
        <v>100</v>
      </c>
    </row>
    <row r="89" spans="1:9">
      <c r="A89" s="2">
        <v>88</v>
      </c>
      <c r="B89" s="1">
        <v>45014</v>
      </c>
      <c r="C89" t="s">
        <v>101</v>
      </c>
      <c r="D89" t="s">
        <v>10</v>
      </c>
      <c r="E89">
        <v>56</v>
      </c>
      <c r="F89" s="2" t="s">
        <v>14</v>
      </c>
      <c r="G89">
        <v>1</v>
      </c>
      <c r="H89">
        <v>500</v>
      </c>
      <c r="I89">
        <v>500</v>
      </c>
    </row>
    <row r="90" spans="1:9">
      <c r="A90" s="2">
        <v>89</v>
      </c>
      <c r="B90" s="1">
        <v>45200</v>
      </c>
      <c r="C90" t="s">
        <v>102</v>
      </c>
      <c r="D90" t="s">
        <v>13</v>
      </c>
      <c r="E90">
        <v>55</v>
      </c>
      <c r="F90" s="2" t="s">
        <v>16</v>
      </c>
      <c r="G90">
        <v>4</v>
      </c>
      <c r="H90">
        <v>500</v>
      </c>
      <c r="I90">
        <v>2000</v>
      </c>
    </row>
    <row r="91" spans="1:9">
      <c r="A91" s="2">
        <v>90</v>
      </c>
      <c r="B91" s="1">
        <v>45052</v>
      </c>
      <c r="C91" t="s">
        <v>103</v>
      </c>
      <c r="D91" t="s">
        <v>13</v>
      </c>
      <c r="E91">
        <v>51</v>
      </c>
      <c r="F91" s="2" t="s">
        <v>16</v>
      </c>
      <c r="G91">
        <v>1</v>
      </c>
      <c r="H91">
        <v>30</v>
      </c>
      <c r="I91">
        <v>30</v>
      </c>
    </row>
    <row r="92" spans="1:9">
      <c r="A92" s="2">
        <v>91</v>
      </c>
      <c r="B92" s="1">
        <v>45010</v>
      </c>
      <c r="C92" t="s">
        <v>104</v>
      </c>
      <c r="D92" t="s">
        <v>13</v>
      </c>
      <c r="E92">
        <v>55</v>
      </c>
      <c r="F92" s="2" t="s">
        <v>16</v>
      </c>
      <c r="G92">
        <v>1</v>
      </c>
      <c r="H92">
        <v>500</v>
      </c>
      <c r="I92">
        <v>500</v>
      </c>
    </row>
    <row r="93" spans="1:9">
      <c r="A93" s="2">
        <v>92</v>
      </c>
      <c r="B93" s="1">
        <v>45163</v>
      </c>
      <c r="C93" t="s">
        <v>105</v>
      </c>
      <c r="D93" t="s">
        <v>13</v>
      </c>
      <c r="E93">
        <v>51</v>
      </c>
      <c r="F93" s="2" t="s">
        <v>16</v>
      </c>
      <c r="G93">
        <v>4</v>
      </c>
      <c r="H93">
        <v>30</v>
      </c>
      <c r="I93">
        <v>120</v>
      </c>
    </row>
    <row r="94" spans="1:9">
      <c r="A94" s="2">
        <v>93</v>
      </c>
      <c r="B94" s="1">
        <v>45121</v>
      </c>
      <c r="C94" t="s">
        <v>106</v>
      </c>
      <c r="D94" t="s">
        <v>13</v>
      </c>
      <c r="E94">
        <v>35</v>
      </c>
      <c r="F94" s="2" t="s">
        <v>11</v>
      </c>
      <c r="G94">
        <v>4</v>
      </c>
      <c r="H94">
        <v>500</v>
      </c>
      <c r="I94">
        <v>2000</v>
      </c>
    </row>
    <row r="95" spans="1:9">
      <c r="A95" s="2">
        <v>94</v>
      </c>
      <c r="B95" s="1">
        <v>45065</v>
      </c>
      <c r="C95" t="s">
        <v>107</v>
      </c>
      <c r="D95" t="s">
        <v>13</v>
      </c>
      <c r="E95">
        <v>47</v>
      </c>
      <c r="F95" s="2" t="s">
        <v>11</v>
      </c>
      <c r="G95">
        <v>2</v>
      </c>
      <c r="H95">
        <v>500</v>
      </c>
      <c r="I95">
        <v>1000</v>
      </c>
    </row>
    <row r="96" spans="1:9">
      <c r="A96" s="2">
        <v>95</v>
      </c>
      <c r="B96" s="1">
        <v>45254</v>
      </c>
      <c r="C96" t="s">
        <v>108</v>
      </c>
      <c r="D96" t="s">
        <v>13</v>
      </c>
      <c r="E96">
        <v>32</v>
      </c>
      <c r="F96" s="2" t="s">
        <v>14</v>
      </c>
      <c r="G96">
        <v>2</v>
      </c>
      <c r="H96">
        <v>30</v>
      </c>
      <c r="I96">
        <v>60</v>
      </c>
    </row>
    <row r="97" spans="1:9">
      <c r="A97" s="2">
        <v>96</v>
      </c>
      <c r="B97" s="1">
        <v>45279</v>
      </c>
      <c r="C97" t="s">
        <v>109</v>
      </c>
      <c r="D97" t="s">
        <v>13</v>
      </c>
      <c r="E97">
        <v>44</v>
      </c>
      <c r="F97" s="2" t="s">
        <v>14</v>
      </c>
      <c r="G97">
        <v>2</v>
      </c>
      <c r="H97">
        <v>300</v>
      </c>
      <c r="I97">
        <v>600</v>
      </c>
    </row>
    <row r="98" spans="1:9">
      <c r="A98" s="2">
        <v>97</v>
      </c>
      <c r="B98" s="1">
        <v>45212</v>
      </c>
      <c r="C98" t="s">
        <v>110</v>
      </c>
      <c r="D98" t="s">
        <v>13</v>
      </c>
      <c r="E98">
        <v>51</v>
      </c>
      <c r="F98" s="2" t="s">
        <v>11</v>
      </c>
      <c r="G98">
        <v>2</v>
      </c>
      <c r="H98">
        <v>500</v>
      </c>
      <c r="I98">
        <v>1000</v>
      </c>
    </row>
    <row r="99" spans="1:9">
      <c r="A99" s="2">
        <v>98</v>
      </c>
      <c r="B99" s="1">
        <v>45039</v>
      </c>
      <c r="C99" t="s">
        <v>111</v>
      </c>
      <c r="D99" t="s">
        <v>13</v>
      </c>
      <c r="E99">
        <v>55</v>
      </c>
      <c r="F99" s="2" t="s">
        <v>11</v>
      </c>
      <c r="G99">
        <v>2</v>
      </c>
      <c r="H99">
        <v>50</v>
      </c>
      <c r="I99">
        <v>100</v>
      </c>
    </row>
    <row r="100" spans="1:9">
      <c r="A100" s="2">
        <v>99</v>
      </c>
      <c r="B100" s="1">
        <v>45277</v>
      </c>
      <c r="C100" t="s">
        <v>112</v>
      </c>
      <c r="D100" t="s">
        <v>13</v>
      </c>
      <c r="E100">
        <v>50</v>
      </c>
      <c r="F100" s="2" t="s">
        <v>16</v>
      </c>
      <c r="G100">
        <v>4</v>
      </c>
      <c r="H100">
        <v>300</v>
      </c>
      <c r="I100">
        <v>1200</v>
      </c>
    </row>
    <row r="101" spans="1:9">
      <c r="A101" s="2">
        <v>100</v>
      </c>
      <c r="B101" s="1">
        <v>45093</v>
      </c>
      <c r="C101" t="s">
        <v>113</v>
      </c>
      <c r="D101" t="s">
        <v>10</v>
      </c>
      <c r="E101">
        <v>41</v>
      </c>
      <c r="F101" s="2" t="s">
        <v>16</v>
      </c>
      <c r="G101">
        <v>1</v>
      </c>
      <c r="H101">
        <v>30</v>
      </c>
      <c r="I101">
        <v>30</v>
      </c>
    </row>
    <row r="102" spans="1:9">
      <c r="A102" s="2">
        <v>101</v>
      </c>
      <c r="B102" s="1">
        <v>44955</v>
      </c>
      <c r="C102" t="s">
        <v>114</v>
      </c>
      <c r="D102" t="s">
        <v>10</v>
      </c>
      <c r="E102">
        <v>32</v>
      </c>
      <c r="F102" s="2" t="s">
        <v>14</v>
      </c>
      <c r="G102">
        <v>2</v>
      </c>
      <c r="H102">
        <v>300</v>
      </c>
      <c r="I102">
        <v>600</v>
      </c>
    </row>
    <row r="103" spans="1:9">
      <c r="A103" s="2">
        <v>102</v>
      </c>
      <c r="B103" s="1">
        <v>45044</v>
      </c>
      <c r="C103" t="s">
        <v>115</v>
      </c>
      <c r="D103" t="s">
        <v>13</v>
      </c>
      <c r="E103">
        <v>47</v>
      </c>
      <c r="F103" s="2" t="s">
        <v>11</v>
      </c>
      <c r="G103">
        <v>2</v>
      </c>
      <c r="H103">
        <v>25</v>
      </c>
      <c r="I103">
        <v>50</v>
      </c>
    </row>
    <row r="104" spans="1:9">
      <c r="A104" s="2">
        <v>103</v>
      </c>
      <c r="B104" s="1">
        <v>44943</v>
      </c>
      <c r="C104" t="s">
        <v>116</v>
      </c>
      <c r="D104" t="s">
        <v>13</v>
      </c>
      <c r="E104">
        <v>59</v>
      </c>
      <c r="F104" s="2" t="s">
        <v>14</v>
      </c>
      <c r="G104">
        <v>1</v>
      </c>
      <c r="H104">
        <v>25</v>
      </c>
      <c r="I104">
        <v>25</v>
      </c>
    </row>
    <row r="105" spans="1:9">
      <c r="A105" s="2">
        <v>104</v>
      </c>
      <c r="B105" s="1">
        <v>45088</v>
      </c>
      <c r="C105" t="s">
        <v>117</v>
      </c>
      <c r="D105" t="s">
        <v>13</v>
      </c>
      <c r="E105">
        <v>34</v>
      </c>
      <c r="F105" s="2" t="s">
        <v>11</v>
      </c>
      <c r="G105">
        <v>2</v>
      </c>
      <c r="H105">
        <v>500</v>
      </c>
      <c r="I105">
        <v>1000</v>
      </c>
    </row>
    <row r="106" spans="1:9">
      <c r="A106" s="2">
        <v>105</v>
      </c>
      <c r="B106" s="1">
        <v>45132</v>
      </c>
      <c r="C106" t="s">
        <v>118</v>
      </c>
      <c r="D106" t="s">
        <v>13</v>
      </c>
      <c r="E106">
        <v>22</v>
      </c>
      <c r="F106" s="2" t="s">
        <v>16</v>
      </c>
      <c r="G106">
        <v>1</v>
      </c>
      <c r="H106">
        <v>500</v>
      </c>
      <c r="I106">
        <v>500</v>
      </c>
    </row>
    <row r="107" spans="1:9">
      <c r="A107" s="2">
        <v>106</v>
      </c>
      <c r="B107" s="1">
        <v>45064</v>
      </c>
      <c r="C107" t="s">
        <v>119</v>
      </c>
      <c r="D107" t="s">
        <v>13</v>
      </c>
      <c r="E107">
        <v>46</v>
      </c>
      <c r="F107" s="2" t="s">
        <v>14</v>
      </c>
      <c r="G107">
        <v>1</v>
      </c>
      <c r="H107">
        <v>50</v>
      </c>
      <c r="I107">
        <v>50</v>
      </c>
    </row>
    <row r="108" spans="1:9">
      <c r="A108" s="2">
        <v>107</v>
      </c>
      <c r="B108" s="1">
        <v>44960</v>
      </c>
      <c r="C108" t="s">
        <v>120</v>
      </c>
      <c r="D108" t="s">
        <v>13</v>
      </c>
      <c r="E108">
        <v>21</v>
      </c>
      <c r="F108" s="2" t="s">
        <v>14</v>
      </c>
      <c r="G108">
        <v>4</v>
      </c>
      <c r="H108">
        <v>300</v>
      </c>
      <c r="I108">
        <v>1200</v>
      </c>
    </row>
    <row r="109" spans="1:9">
      <c r="A109" s="2">
        <v>108</v>
      </c>
      <c r="B109" s="1">
        <v>45035</v>
      </c>
      <c r="C109" t="s">
        <v>121</v>
      </c>
      <c r="D109" t="s">
        <v>13</v>
      </c>
      <c r="E109">
        <v>27</v>
      </c>
      <c r="F109" s="2" t="s">
        <v>11</v>
      </c>
      <c r="G109">
        <v>3</v>
      </c>
      <c r="H109">
        <v>25</v>
      </c>
      <c r="I109">
        <v>75</v>
      </c>
    </row>
    <row r="110" spans="1:9">
      <c r="A110" s="2">
        <v>109</v>
      </c>
      <c r="B110" s="1">
        <v>45217</v>
      </c>
      <c r="C110" t="s">
        <v>122</v>
      </c>
      <c r="D110" t="s">
        <v>13</v>
      </c>
      <c r="E110">
        <v>34</v>
      </c>
      <c r="F110" s="2" t="s">
        <v>16</v>
      </c>
      <c r="G110">
        <v>4</v>
      </c>
      <c r="H110">
        <v>500</v>
      </c>
      <c r="I110">
        <v>2000</v>
      </c>
    </row>
    <row r="111" spans="1:9">
      <c r="A111" s="2">
        <v>110</v>
      </c>
      <c r="B111" s="1">
        <v>45088</v>
      </c>
      <c r="C111" t="s">
        <v>123</v>
      </c>
      <c r="D111" t="s">
        <v>10</v>
      </c>
      <c r="E111">
        <v>27</v>
      </c>
      <c r="F111" s="2" t="s">
        <v>14</v>
      </c>
      <c r="G111">
        <v>3</v>
      </c>
      <c r="H111">
        <v>300</v>
      </c>
      <c r="I111">
        <v>900</v>
      </c>
    </row>
    <row r="112" spans="1:9">
      <c r="A112" s="2">
        <v>111</v>
      </c>
      <c r="B112" s="1">
        <v>45035</v>
      </c>
      <c r="C112" t="s">
        <v>124</v>
      </c>
      <c r="D112" t="s">
        <v>13</v>
      </c>
      <c r="E112">
        <v>34</v>
      </c>
      <c r="F112" s="2" t="s">
        <v>16</v>
      </c>
      <c r="G112">
        <v>3</v>
      </c>
      <c r="H112">
        <v>500</v>
      </c>
      <c r="I112">
        <v>1500</v>
      </c>
    </row>
    <row r="113" spans="1:9">
      <c r="A113" s="2">
        <v>112</v>
      </c>
      <c r="B113" s="1">
        <v>45262</v>
      </c>
      <c r="C113" t="s">
        <v>125</v>
      </c>
      <c r="D113" t="s">
        <v>10</v>
      </c>
      <c r="E113">
        <v>37</v>
      </c>
      <c r="F113" s="2" t="s">
        <v>14</v>
      </c>
      <c r="G113">
        <v>3</v>
      </c>
      <c r="H113">
        <v>500</v>
      </c>
      <c r="I113">
        <v>1500</v>
      </c>
    </row>
    <row r="114" spans="1:9">
      <c r="A114" s="2">
        <v>113</v>
      </c>
      <c r="B114" s="1">
        <v>45182</v>
      </c>
      <c r="C114" t="s">
        <v>126</v>
      </c>
      <c r="D114" t="s">
        <v>13</v>
      </c>
      <c r="E114">
        <v>41</v>
      </c>
      <c r="F114" s="2" t="s">
        <v>16</v>
      </c>
      <c r="G114">
        <v>2</v>
      </c>
      <c r="H114">
        <v>25</v>
      </c>
      <c r="I114">
        <v>50</v>
      </c>
    </row>
    <row r="115" spans="1:9">
      <c r="A115" s="2">
        <v>114</v>
      </c>
      <c r="B115" s="1">
        <v>45129</v>
      </c>
      <c r="C115" t="s">
        <v>127</v>
      </c>
      <c r="D115" t="s">
        <v>13</v>
      </c>
      <c r="E115">
        <v>22</v>
      </c>
      <c r="F115" s="2" t="s">
        <v>11</v>
      </c>
      <c r="G115">
        <v>4</v>
      </c>
      <c r="H115">
        <v>25</v>
      </c>
      <c r="I115">
        <v>100</v>
      </c>
    </row>
    <row r="116" spans="1:9">
      <c r="A116" s="2">
        <v>115</v>
      </c>
      <c r="B116" s="1">
        <v>45256</v>
      </c>
      <c r="C116" t="s">
        <v>128</v>
      </c>
      <c r="D116" t="s">
        <v>10</v>
      </c>
      <c r="E116">
        <v>51</v>
      </c>
      <c r="F116" s="2" t="s">
        <v>14</v>
      </c>
      <c r="G116">
        <v>3</v>
      </c>
      <c r="H116">
        <v>500</v>
      </c>
      <c r="I116">
        <v>1500</v>
      </c>
    </row>
    <row r="117" spans="1:9">
      <c r="A117" s="2">
        <v>116</v>
      </c>
      <c r="B117" s="1">
        <v>45161</v>
      </c>
      <c r="C117" t="s">
        <v>129</v>
      </c>
      <c r="D117" t="s">
        <v>13</v>
      </c>
      <c r="E117">
        <v>23</v>
      </c>
      <c r="F117" s="2" t="s">
        <v>14</v>
      </c>
      <c r="G117">
        <v>1</v>
      </c>
      <c r="H117">
        <v>30</v>
      </c>
      <c r="I117">
        <v>30</v>
      </c>
    </row>
    <row r="118" spans="1:9">
      <c r="A118" s="2">
        <v>117</v>
      </c>
      <c r="B118" s="1">
        <v>45000</v>
      </c>
      <c r="C118" t="s">
        <v>130</v>
      </c>
      <c r="D118" t="s">
        <v>10</v>
      </c>
      <c r="E118">
        <v>19</v>
      </c>
      <c r="F118" s="2" t="s">
        <v>16</v>
      </c>
      <c r="G118">
        <v>2</v>
      </c>
      <c r="H118">
        <v>500</v>
      </c>
      <c r="I118">
        <v>1000</v>
      </c>
    </row>
    <row r="119" spans="1:9">
      <c r="A119" s="2">
        <v>118</v>
      </c>
      <c r="B119" s="1">
        <v>45062</v>
      </c>
      <c r="C119" t="s">
        <v>131</v>
      </c>
      <c r="D119" t="s">
        <v>13</v>
      </c>
      <c r="E119">
        <v>30</v>
      </c>
      <c r="F119" s="2" t="s">
        <v>16</v>
      </c>
      <c r="G119">
        <v>4</v>
      </c>
      <c r="H119">
        <v>500</v>
      </c>
      <c r="I119">
        <v>2000</v>
      </c>
    </row>
    <row r="120" spans="1:9">
      <c r="A120" s="2">
        <v>119</v>
      </c>
      <c r="B120" s="1">
        <v>44998</v>
      </c>
      <c r="C120" t="s">
        <v>132</v>
      </c>
      <c r="D120" t="s">
        <v>13</v>
      </c>
      <c r="E120">
        <v>60</v>
      </c>
      <c r="F120" s="2" t="s">
        <v>14</v>
      </c>
      <c r="G120">
        <v>3</v>
      </c>
      <c r="H120">
        <v>50</v>
      </c>
      <c r="I120">
        <v>150</v>
      </c>
    </row>
    <row r="121" spans="1:9">
      <c r="A121" s="2">
        <v>120</v>
      </c>
      <c r="B121" s="1">
        <v>45053</v>
      </c>
      <c r="C121" t="s">
        <v>133</v>
      </c>
      <c r="D121" t="s">
        <v>10</v>
      </c>
      <c r="E121">
        <v>60</v>
      </c>
      <c r="F121" s="2" t="s">
        <v>11</v>
      </c>
      <c r="G121">
        <v>1</v>
      </c>
      <c r="H121">
        <v>50</v>
      </c>
      <c r="I121">
        <v>50</v>
      </c>
    </row>
    <row r="122" spans="1:9">
      <c r="A122" s="2">
        <v>121</v>
      </c>
      <c r="B122" s="1">
        <v>45214</v>
      </c>
      <c r="C122" t="s">
        <v>134</v>
      </c>
      <c r="D122" t="s">
        <v>13</v>
      </c>
      <c r="E122">
        <v>28</v>
      </c>
      <c r="F122" s="2" t="s">
        <v>16</v>
      </c>
      <c r="G122">
        <v>4</v>
      </c>
      <c r="H122">
        <v>50</v>
      </c>
      <c r="I122">
        <v>200</v>
      </c>
    </row>
    <row r="123" spans="1:9">
      <c r="A123" s="2">
        <v>122</v>
      </c>
      <c r="B123" s="1">
        <v>45202</v>
      </c>
      <c r="C123" t="s">
        <v>135</v>
      </c>
      <c r="D123" t="s">
        <v>10</v>
      </c>
      <c r="E123">
        <v>64</v>
      </c>
      <c r="F123" s="2" t="s">
        <v>16</v>
      </c>
      <c r="G123">
        <v>4</v>
      </c>
      <c r="H123">
        <v>30</v>
      </c>
      <c r="I123">
        <v>120</v>
      </c>
    </row>
    <row r="124" spans="1:9">
      <c r="A124" s="2">
        <v>123</v>
      </c>
      <c r="B124" s="1">
        <v>45061</v>
      </c>
      <c r="C124" t="s">
        <v>136</v>
      </c>
      <c r="D124" t="s">
        <v>13</v>
      </c>
      <c r="E124">
        <v>40</v>
      </c>
      <c r="F124" s="2" t="s">
        <v>16</v>
      </c>
      <c r="G124">
        <v>2</v>
      </c>
      <c r="H124">
        <v>30</v>
      </c>
      <c r="I124">
        <v>60</v>
      </c>
    </row>
    <row r="125" spans="1:9">
      <c r="A125" s="2">
        <v>124</v>
      </c>
      <c r="B125" s="1">
        <v>45226</v>
      </c>
      <c r="C125" t="s">
        <v>137</v>
      </c>
      <c r="D125" t="s">
        <v>10</v>
      </c>
      <c r="E125">
        <v>33</v>
      </c>
      <c r="F125" s="2" t="s">
        <v>14</v>
      </c>
      <c r="G125">
        <v>4</v>
      </c>
      <c r="H125">
        <v>500</v>
      </c>
      <c r="I125">
        <v>2000</v>
      </c>
    </row>
    <row r="126" spans="1:9">
      <c r="A126" s="2">
        <v>125</v>
      </c>
      <c r="B126" s="1">
        <v>45146</v>
      </c>
      <c r="C126" t="s">
        <v>138</v>
      </c>
      <c r="D126" t="s">
        <v>10</v>
      </c>
      <c r="E126">
        <v>48</v>
      </c>
      <c r="F126" s="2" t="s">
        <v>14</v>
      </c>
      <c r="G126">
        <v>2</v>
      </c>
      <c r="H126">
        <v>50</v>
      </c>
      <c r="I126">
        <v>100</v>
      </c>
    </row>
    <row r="127" spans="1:9">
      <c r="A127" s="2">
        <v>126</v>
      </c>
      <c r="B127" s="1">
        <v>45225</v>
      </c>
      <c r="C127" t="s">
        <v>139</v>
      </c>
      <c r="D127" t="s">
        <v>13</v>
      </c>
      <c r="E127">
        <v>28</v>
      </c>
      <c r="F127" s="2" t="s">
        <v>14</v>
      </c>
      <c r="G127">
        <v>3</v>
      </c>
      <c r="H127">
        <v>30</v>
      </c>
      <c r="I127">
        <v>90</v>
      </c>
    </row>
    <row r="128" spans="1:9">
      <c r="A128" s="2">
        <v>127</v>
      </c>
      <c r="B128" s="1">
        <v>45131</v>
      </c>
      <c r="C128" t="s">
        <v>140</v>
      </c>
      <c r="D128" t="s">
        <v>13</v>
      </c>
      <c r="E128">
        <v>33</v>
      </c>
      <c r="F128" s="2" t="s">
        <v>14</v>
      </c>
      <c r="G128">
        <v>2</v>
      </c>
      <c r="H128">
        <v>25</v>
      </c>
      <c r="I128">
        <v>50</v>
      </c>
    </row>
    <row r="129" spans="1:9">
      <c r="A129" s="2">
        <v>128</v>
      </c>
      <c r="B129" s="1">
        <v>45112</v>
      </c>
      <c r="C129" t="s">
        <v>141</v>
      </c>
      <c r="D129" t="s">
        <v>10</v>
      </c>
      <c r="E129">
        <v>25</v>
      </c>
      <c r="F129" s="2" t="s">
        <v>11</v>
      </c>
      <c r="G129">
        <v>1</v>
      </c>
      <c r="H129">
        <v>500</v>
      </c>
      <c r="I129">
        <v>500</v>
      </c>
    </row>
    <row r="130" spans="1:9">
      <c r="A130" s="2">
        <v>129</v>
      </c>
      <c r="B130" s="1">
        <v>45039</v>
      </c>
      <c r="C130" t="s">
        <v>142</v>
      </c>
      <c r="D130" t="s">
        <v>13</v>
      </c>
      <c r="E130">
        <v>21</v>
      </c>
      <c r="F130" s="2" t="s">
        <v>11</v>
      </c>
      <c r="G130">
        <v>2</v>
      </c>
      <c r="H130">
        <v>300</v>
      </c>
      <c r="I130">
        <v>600</v>
      </c>
    </row>
    <row r="131" spans="1:9">
      <c r="A131" s="2">
        <v>130</v>
      </c>
      <c r="B131" s="1">
        <v>44997</v>
      </c>
      <c r="C131" t="s">
        <v>143</v>
      </c>
      <c r="D131" t="s">
        <v>13</v>
      </c>
      <c r="E131">
        <v>57</v>
      </c>
      <c r="F131" s="2" t="s">
        <v>14</v>
      </c>
      <c r="G131">
        <v>1</v>
      </c>
      <c r="H131">
        <v>500</v>
      </c>
      <c r="I131">
        <v>500</v>
      </c>
    </row>
    <row r="132" spans="1:9">
      <c r="A132" s="2">
        <v>131</v>
      </c>
      <c r="B132" s="1">
        <v>45187</v>
      </c>
      <c r="C132" t="s">
        <v>144</v>
      </c>
      <c r="D132" t="s">
        <v>13</v>
      </c>
      <c r="E132">
        <v>21</v>
      </c>
      <c r="F132" s="2" t="s">
        <v>11</v>
      </c>
      <c r="G132">
        <v>2</v>
      </c>
      <c r="H132">
        <v>300</v>
      </c>
      <c r="I132">
        <v>600</v>
      </c>
    </row>
    <row r="133" spans="1:9">
      <c r="A133" s="2">
        <v>132</v>
      </c>
      <c r="B133" s="1">
        <v>45179</v>
      </c>
      <c r="C133" t="s">
        <v>145</v>
      </c>
      <c r="D133" t="s">
        <v>10</v>
      </c>
      <c r="E133">
        <v>42</v>
      </c>
      <c r="F133" s="2" t="s">
        <v>16</v>
      </c>
      <c r="G133">
        <v>4</v>
      </c>
      <c r="H133">
        <v>50</v>
      </c>
      <c r="I133">
        <v>200</v>
      </c>
    </row>
    <row r="134" spans="1:9">
      <c r="A134" s="2">
        <v>133</v>
      </c>
      <c r="B134" s="1">
        <v>44973</v>
      </c>
      <c r="C134" t="s">
        <v>146</v>
      </c>
      <c r="D134" t="s">
        <v>10</v>
      </c>
      <c r="E134">
        <v>20</v>
      </c>
      <c r="F134" s="2" t="s">
        <v>16</v>
      </c>
      <c r="G134">
        <v>3</v>
      </c>
      <c r="H134">
        <v>300</v>
      </c>
      <c r="I134">
        <v>900</v>
      </c>
    </row>
    <row r="135" spans="1:9">
      <c r="A135" s="2">
        <v>134</v>
      </c>
      <c r="B135" s="1">
        <v>44951</v>
      </c>
      <c r="C135" t="s">
        <v>147</v>
      </c>
      <c r="D135" t="s">
        <v>10</v>
      </c>
      <c r="E135">
        <v>49</v>
      </c>
      <c r="F135" s="2" t="s">
        <v>16</v>
      </c>
      <c r="G135">
        <v>1</v>
      </c>
      <c r="H135">
        <v>50</v>
      </c>
      <c r="I135">
        <v>50</v>
      </c>
    </row>
    <row r="136" spans="1:9">
      <c r="A136" s="2">
        <v>135</v>
      </c>
      <c r="B136" s="1">
        <v>44983</v>
      </c>
      <c r="C136" t="s">
        <v>148</v>
      </c>
      <c r="D136" t="s">
        <v>10</v>
      </c>
      <c r="E136">
        <v>20</v>
      </c>
      <c r="F136" s="2" t="s">
        <v>14</v>
      </c>
      <c r="G136">
        <v>2</v>
      </c>
      <c r="H136">
        <v>25</v>
      </c>
      <c r="I136">
        <v>50</v>
      </c>
    </row>
    <row r="137" spans="1:9">
      <c r="A137" s="2">
        <v>136</v>
      </c>
      <c r="B137" s="1">
        <v>45005</v>
      </c>
      <c r="C137" t="s">
        <v>149</v>
      </c>
      <c r="D137" t="s">
        <v>10</v>
      </c>
      <c r="E137">
        <v>44</v>
      </c>
      <c r="F137" s="2" t="s">
        <v>16</v>
      </c>
      <c r="G137">
        <v>2</v>
      </c>
      <c r="H137">
        <v>300</v>
      </c>
      <c r="I137">
        <v>600</v>
      </c>
    </row>
    <row r="138" spans="1:9">
      <c r="A138" s="2">
        <v>137</v>
      </c>
      <c r="B138" s="1">
        <v>45248</v>
      </c>
      <c r="C138" t="s">
        <v>150</v>
      </c>
      <c r="D138" t="s">
        <v>10</v>
      </c>
      <c r="E138">
        <v>46</v>
      </c>
      <c r="F138" s="2" t="s">
        <v>11</v>
      </c>
      <c r="G138">
        <v>2</v>
      </c>
      <c r="H138">
        <v>500</v>
      </c>
      <c r="I138">
        <v>1000</v>
      </c>
    </row>
    <row r="139" spans="1:9">
      <c r="A139" s="2">
        <v>138</v>
      </c>
      <c r="B139" s="1">
        <v>45008</v>
      </c>
      <c r="C139" t="s">
        <v>151</v>
      </c>
      <c r="D139" t="s">
        <v>10</v>
      </c>
      <c r="E139">
        <v>49</v>
      </c>
      <c r="F139" s="2" t="s">
        <v>14</v>
      </c>
      <c r="G139">
        <v>4</v>
      </c>
      <c r="H139">
        <v>50</v>
      </c>
      <c r="I139">
        <v>200</v>
      </c>
    </row>
    <row r="140" spans="1:9">
      <c r="A140" s="2">
        <v>139</v>
      </c>
      <c r="B140" s="1">
        <v>45275</v>
      </c>
      <c r="C140" t="s">
        <v>152</v>
      </c>
      <c r="D140" t="s">
        <v>10</v>
      </c>
      <c r="E140">
        <v>36</v>
      </c>
      <c r="F140" s="2" t="s">
        <v>11</v>
      </c>
      <c r="G140">
        <v>4</v>
      </c>
      <c r="H140">
        <v>500</v>
      </c>
      <c r="I140">
        <v>2000</v>
      </c>
    </row>
    <row r="141" spans="1:9">
      <c r="A141" s="2">
        <v>140</v>
      </c>
      <c r="B141" s="1">
        <v>45143</v>
      </c>
      <c r="C141" t="s">
        <v>153</v>
      </c>
      <c r="D141" t="s">
        <v>10</v>
      </c>
      <c r="E141">
        <v>38</v>
      </c>
      <c r="F141" s="2" t="s">
        <v>16</v>
      </c>
      <c r="G141">
        <v>1</v>
      </c>
      <c r="H141">
        <v>30</v>
      </c>
      <c r="I141">
        <v>30</v>
      </c>
    </row>
    <row r="142" spans="1:9">
      <c r="A142" s="2">
        <v>141</v>
      </c>
      <c r="B142" s="1">
        <v>45232</v>
      </c>
      <c r="C142" t="s">
        <v>154</v>
      </c>
      <c r="D142" t="s">
        <v>13</v>
      </c>
      <c r="E142">
        <v>22</v>
      </c>
      <c r="F142" s="2" t="s">
        <v>16</v>
      </c>
      <c r="G142">
        <v>1</v>
      </c>
      <c r="H142">
        <v>50</v>
      </c>
      <c r="I142">
        <v>50</v>
      </c>
    </row>
    <row r="143" spans="1:9">
      <c r="A143" s="2">
        <v>142</v>
      </c>
      <c r="B143" s="1">
        <v>44959</v>
      </c>
      <c r="C143" t="s">
        <v>155</v>
      </c>
      <c r="D143" t="s">
        <v>10</v>
      </c>
      <c r="E143">
        <v>35</v>
      </c>
      <c r="F143" s="2" t="s">
        <v>16</v>
      </c>
      <c r="G143">
        <v>4</v>
      </c>
      <c r="H143">
        <v>300</v>
      </c>
      <c r="I143">
        <v>1200</v>
      </c>
    </row>
    <row r="144" spans="1:9">
      <c r="A144" s="2">
        <v>143</v>
      </c>
      <c r="B144" s="1">
        <v>45124</v>
      </c>
      <c r="C144" t="s">
        <v>156</v>
      </c>
      <c r="D144" t="s">
        <v>13</v>
      </c>
      <c r="E144">
        <v>45</v>
      </c>
      <c r="F144" s="2" t="s">
        <v>14</v>
      </c>
      <c r="G144">
        <v>1</v>
      </c>
      <c r="H144">
        <v>50</v>
      </c>
      <c r="I144">
        <v>50</v>
      </c>
    </row>
    <row r="145" spans="1:9">
      <c r="A145" s="2">
        <v>144</v>
      </c>
      <c r="B145" s="1">
        <v>45122</v>
      </c>
      <c r="C145" t="s">
        <v>157</v>
      </c>
      <c r="D145" t="s">
        <v>13</v>
      </c>
      <c r="E145">
        <v>59</v>
      </c>
      <c r="F145" s="2" t="s">
        <v>11</v>
      </c>
      <c r="G145">
        <v>3</v>
      </c>
      <c r="H145">
        <v>500</v>
      </c>
      <c r="I145">
        <v>1500</v>
      </c>
    </row>
    <row r="146" spans="1:9">
      <c r="A146" s="2">
        <v>145</v>
      </c>
      <c r="B146" s="1">
        <v>45232</v>
      </c>
      <c r="C146" t="s">
        <v>158</v>
      </c>
      <c r="D146" t="s">
        <v>13</v>
      </c>
      <c r="E146">
        <v>39</v>
      </c>
      <c r="F146" s="2" t="s">
        <v>14</v>
      </c>
      <c r="G146">
        <v>3</v>
      </c>
      <c r="H146">
        <v>25</v>
      </c>
      <c r="I146">
        <v>75</v>
      </c>
    </row>
    <row r="147" spans="1:9">
      <c r="A147" s="2">
        <v>146</v>
      </c>
      <c r="B147" s="1">
        <v>45166</v>
      </c>
      <c r="C147" t="s">
        <v>159</v>
      </c>
      <c r="D147" t="s">
        <v>10</v>
      </c>
      <c r="E147">
        <v>38</v>
      </c>
      <c r="F147" s="2" t="s">
        <v>14</v>
      </c>
      <c r="G147">
        <v>4</v>
      </c>
      <c r="H147">
        <v>50</v>
      </c>
      <c r="I147">
        <v>200</v>
      </c>
    </row>
    <row r="148" spans="1:9">
      <c r="A148" s="2">
        <v>147</v>
      </c>
      <c r="B148" s="1">
        <v>45197</v>
      </c>
      <c r="C148" t="s">
        <v>160</v>
      </c>
      <c r="D148" t="s">
        <v>10</v>
      </c>
      <c r="E148">
        <v>23</v>
      </c>
      <c r="F148" s="2" t="s">
        <v>16</v>
      </c>
      <c r="G148">
        <v>1</v>
      </c>
      <c r="H148">
        <v>300</v>
      </c>
      <c r="I148">
        <v>300</v>
      </c>
    </row>
    <row r="149" spans="1:9">
      <c r="A149" s="2">
        <v>148</v>
      </c>
      <c r="B149" s="1">
        <v>45055</v>
      </c>
      <c r="C149" t="s">
        <v>161</v>
      </c>
      <c r="D149" t="s">
        <v>10</v>
      </c>
      <c r="E149">
        <v>18</v>
      </c>
      <c r="F149" s="2" t="s">
        <v>14</v>
      </c>
      <c r="G149">
        <v>2</v>
      </c>
      <c r="H149">
        <v>30</v>
      </c>
      <c r="I149">
        <v>60</v>
      </c>
    </row>
    <row r="150" spans="1:9">
      <c r="A150" s="2">
        <v>149</v>
      </c>
      <c r="B150" s="1">
        <v>45210</v>
      </c>
      <c r="C150" t="s">
        <v>162</v>
      </c>
      <c r="D150" t="s">
        <v>10</v>
      </c>
      <c r="E150">
        <v>22</v>
      </c>
      <c r="F150" s="2" t="s">
        <v>14</v>
      </c>
      <c r="G150">
        <v>3</v>
      </c>
      <c r="H150">
        <v>25</v>
      </c>
      <c r="I150">
        <v>75</v>
      </c>
    </row>
    <row r="151" spans="1:9">
      <c r="A151" s="2">
        <v>150</v>
      </c>
      <c r="B151" s="1">
        <v>44932</v>
      </c>
      <c r="C151" t="s">
        <v>163</v>
      </c>
      <c r="D151" t="s">
        <v>13</v>
      </c>
      <c r="E151">
        <v>58</v>
      </c>
      <c r="F151" s="2" t="s">
        <v>16</v>
      </c>
      <c r="G151">
        <v>4</v>
      </c>
      <c r="H151">
        <v>30</v>
      </c>
      <c r="I151">
        <v>120</v>
      </c>
    </row>
    <row r="152" spans="1:9">
      <c r="A152" s="2">
        <v>151</v>
      </c>
      <c r="B152" s="1">
        <v>45275</v>
      </c>
      <c r="C152" t="s">
        <v>164</v>
      </c>
      <c r="D152" t="s">
        <v>10</v>
      </c>
      <c r="E152">
        <v>29</v>
      </c>
      <c r="F152" s="2" t="s">
        <v>14</v>
      </c>
      <c r="G152">
        <v>1</v>
      </c>
      <c r="H152">
        <v>50</v>
      </c>
      <c r="I152">
        <v>50</v>
      </c>
    </row>
    <row r="153" spans="1:9">
      <c r="A153" s="2">
        <v>152</v>
      </c>
      <c r="B153" s="1">
        <v>44985</v>
      </c>
      <c r="C153" t="s">
        <v>165</v>
      </c>
      <c r="D153" t="s">
        <v>10</v>
      </c>
      <c r="E153">
        <v>43</v>
      </c>
      <c r="F153" s="2" t="s">
        <v>16</v>
      </c>
      <c r="G153">
        <v>4</v>
      </c>
      <c r="H153">
        <v>500</v>
      </c>
      <c r="I153">
        <v>2000</v>
      </c>
    </row>
    <row r="154" spans="1:9">
      <c r="A154" s="2">
        <v>153</v>
      </c>
      <c r="B154" s="1">
        <v>45276</v>
      </c>
      <c r="C154" t="s">
        <v>166</v>
      </c>
      <c r="D154" t="s">
        <v>10</v>
      </c>
      <c r="E154">
        <v>63</v>
      </c>
      <c r="F154" s="2" t="s">
        <v>16</v>
      </c>
      <c r="G154">
        <v>2</v>
      </c>
      <c r="H154">
        <v>500</v>
      </c>
      <c r="I154">
        <v>1000</v>
      </c>
    </row>
    <row r="155" spans="1:9">
      <c r="A155" s="2">
        <v>154</v>
      </c>
      <c r="B155" s="1">
        <v>45201</v>
      </c>
      <c r="C155" t="s">
        <v>167</v>
      </c>
      <c r="D155" t="s">
        <v>10</v>
      </c>
      <c r="E155">
        <v>51</v>
      </c>
      <c r="F155" s="2" t="s">
        <v>16</v>
      </c>
      <c r="G155">
        <v>3</v>
      </c>
      <c r="H155">
        <v>300</v>
      </c>
      <c r="I155">
        <v>900</v>
      </c>
    </row>
    <row r="156" spans="1:9">
      <c r="A156" s="2">
        <v>155</v>
      </c>
      <c r="B156" s="1">
        <v>45063</v>
      </c>
      <c r="C156" t="s">
        <v>168</v>
      </c>
      <c r="D156" t="s">
        <v>10</v>
      </c>
      <c r="E156">
        <v>31</v>
      </c>
      <c r="F156" s="2" t="s">
        <v>16</v>
      </c>
      <c r="G156">
        <v>4</v>
      </c>
      <c r="H156">
        <v>500</v>
      </c>
      <c r="I156">
        <v>2000</v>
      </c>
    </row>
    <row r="157" spans="1:9">
      <c r="A157" s="2">
        <v>156</v>
      </c>
      <c r="B157" s="1">
        <v>45255</v>
      </c>
      <c r="C157" t="s">
        <v>169</v>
      </c>
      <c r="D157" t="s">
        <v>13</v>
      </c>
      <c r="E157">
        <v>43</v>
      </c>
      <c r="F157" s="2" t="s">
        <v>14</v>
      </c>
      <c r="G157">
        <v>4</v>
      </c>
      <c r="H157">
        <v>25</v>
      </c>
      <c r="I157">
        <v>100</v>
      </c>
    </row>
    <row r="158" spans="1:9">
      <c r="A158" s="2">
        <v>157</v>
      </c>
      <c r="B158" s="1">
        <v>45101</v>
      </c>
      <c r="C158" t="s">
        <v>170</v>
      </c>
      <c r="D158" t="s">
        <v>10</v>
      </c>
      <c r="E158">
        <v>62</v>
      </c>
      <c r="F158" s="2" t="s">
        <v>16</v>
      </c>
      <c r="G158">
        <v>4</v>
      </c>
      <c r="H158">
        <v>500</v>
      </c>
      <c r="I158">
        <v>2000</v>
      </c>
    </row>
    <row r="159" spans="1:9">
      <c r="A159" s="2">
        <v>158</v>
      </c>
      <c r="B159" s="1">
        <v>44984</v>
      </c>
      <c r="C159" t="s">
        <v>171</v>
      </c>
      <c r="D159" t="s">
        <v>13</v>
      </c>
      <c r="E159">
        <v>44</v>
      </c>
      <c r="F159" s="2" t="s">
        <v>16</v>
      </c>
      <c r="G159">
        <v>2</v>
      </c>
      <c r="H159">
        <v>300</v>
      </c>
      <c r="I159">
        <v>600</v>
      </c>
    </row>
    <row r="160" spans="1:9">
      <c r="A160" s="2">
        <v>159</v>
      </c>
      <c r="B160" s="1">
        <v>45077</v>
      </c>
      <c r="C160" t="s">
        <v>172</v>
      </c>
      <c r="D160" t="s">
        <v>10</v>
      </c>
      <c r="E160">
        <v>26</v>
      </c>
      <c r="F160" s="2" t="s">
        <v>14</v>
      </c>
      <c r="G160">
        <v>4</v>
      </c>
      <c r="H160">
        <v>50</v>
      </c>
      <c r="I160">
        <v>200</v>
      </c>
    </row>
    <row r="161" spans="1:9">
      <c r="A161" s="2">
        <v>160</v>
      </c>
      <c r="B161" s="1">
        <v>45149</v>
      </c>
      <c r="C161" t="s">
        <v>173</v>
      </c>
      <c r="D161" t="s">
        <v>13</v>
      </c>
      <c r="E161">
        <v>43</v>
      </c>
      <c r="F161" s="2" t="s">
        <v>14</v>
      </c>
      <c r="G161">
        <v>2</v>
      </c>
      <c r="H161">
        <v>50</v>
      </c>
      <c r="I161">
        <v>100</v>
      </c>
    </row>
    <row r="162" spans="1:9">
      <c r="A162" s="2">
        <v>161</v>
      </c>
      <c r="B162" s="1">
        <v>45007</v>
      </c>
      <c r="C162" t="s">
        <v>174</v>
      </c>
      <c r="D162" t="s">
        <v>10</v>
      </c>
      <c r="E162">
        <v>64</v>
      </c>
      <c r="F162" s="2" t="s">
        <v>11</v>
      </c>
      <c r="G162">
        <v>2</v>
      </c>
      <c r="H162">
        <v>500</v>
      </c>
      <c r="I162">
        <v>1000</v>
      </c>
    </row>
    <row r="163" spans="1:9">
      <c r="A163" s="2">
        <v>162</v>
      </c>
      <c r="B163" s="1">
        <v>45159</v>
      </c>
      <c r="C163" t="s">
        <v>175</v>
      </c>
      <c r="D163" t="s">
        <v>10</v>
      </c>
      <c r="E163">
        <v>39</v>
      </c>
      <c r="F163" s="2" t="s">
        <v>14</v>
      </c>
      <c r="G163">
        <v>2</v>
      </c>
      <c r="H163">
        <v>30</v>
      </c>
      <c r="I163">
        <v>60</v>
      </c>
    </row>
    <row r="164" spans="1:9">
      <c r="A164" s="2">
        <v>163</v>
      </c>
      <c r="B164" s="1">
        <v>44928</v>
      </c>
      <c r="C164" t="s">
        <v>176</v>
      </c>
      <c r="D164" t="s">
        <v>13</v>
      </c>
      <c r="E164">
        <v>64</v>
      </c>
      <c r="F164" s="2" t="s">
        <v>14</v>
      </c>
      <c r="G164">
        <v>3</v>
      </c>
      <c r="H164">
        <v>50</v>
      </c>
      <c r="I164">
        <v>150</v>
      </c>
    </row>
    <row r="165" spans="1:9">
      <c r="A165" s="2">
        <v>164</v>
      </c>
      <c r="B165" s="1">
        <v>45061</v>
      </c>
      <c r="C165" t="s">
        <v>177</v>
      </c>
      <c r="D165" t="s">
        <v>13</v>
      </c>
      <c r="E165">
        <v>47</v>
      </c>
      <c r="F165" s="2" t="s">
        <v>11</v>
      </c>
      <c r="G165">
        <v>3</v>
      </c>
      <c r="H165">
        <v>500</v>
      </c>
      <c r="I165">
        <v>1500</v>
      </c>
    </row>
    <row r="166" spans="1:9">
      <c r="A166" s="2">
        <v>165</v>
      </c>
      <c r="B166" s="1">
        <v>45183</v>
      </c>
      <c r="C166" t="s">
        <v>178</v>
      </c>
      <c r="D166" t="s">
        <v>13</v>
      </c>
      <c r="E166">
        <v>60</v>
      </c>
      <c r="F166" s="2" t="s">
        <v>14</v>
      </c>
      <c r="G166">
        <v>4</v>
      </c>
      <c r="H166">
        <v>300</v>
      </c>
      <c r="I166">
        <v>1200</v>
      </c>
    </row>
    <row r="167" spans="1:9">
      <c r="A167" s="2">
        <v>166</v>
      </c>
      <c r="B167" s="1">
        <v>45018</v>
      </c>
      <c r="C167" t="s">
        <v>179</v>
      </c>
      <c r="D167" t="s">
        <v>10</v>
      </c>
      <c r="E167">
        <v>34</v>
      </c>
      <c r="F167" s="2" t="s">
        <v>14</v>
      </c>
      <c r="G167">
        <v>4</v>
      </c>
      <c r="H167">
        <v>500</v>
      </c>
      <c r="I167">
        <v>2000</v>
      </c>
    </row>
    <row r="168" spans="1:9">
      <c r="A168" s="2">
        <v>167</v>
      </c>
      <c r="B168" s="1">
        <v>45186</v>
      </c>
      <c r="C168" t="s">
        <v>180</v>
      </c>
      <c r="D168" t="s">
        <v>13</v>
      </c>
      <c r="E168">
        <v>43</v>
      </c>
      <c r="F168" s="2" t="s">
        <v>14</v>
      </c>
      <c r="G168">
        <v>3</v>
      </c>
      <c r="H168">
        <v>50</v>
      </c>
      <c r="I168">
        <v>150</v>
      </c>
    </row>
    <row r="169" spans="1:9">
      <c r="A169" s="2">
        <v>168</v>
      </c>
      <c r="B169" s="1">
        <v>44981</v>
      </c>
      <c r="C169" t="s">
        <v>181</v>
      </c>
      <c r="D169" t="s">
        <v>10</v>
      </c>
      <c r="E169">
        <v>53</v>
      </c>
      <c r="F169" s="2" t="s">
        <v>14</v>
      </c>
      <c r="G169">
        <v>1</v>
      </c>
      <c r="H169">
        <v>300</v>
      </c>
      <c r="I169">
        <v>300</v>
      </c>
    </row>
    <row r="170" spans="1:9">
      <c r="A170" s="2">
        <v>169</v>
      </c>
      <c r="B170" s="1">
        <v>45247</v>
      </c>
      <c r="C170" t="s">
        <v>182</v>
      </c>
      <c r="D170" t="s">
        <v>10</v>
      </c>
      <c r="E170">
        <v>18</v>
      </c>
      <c r="F170" s="2" t="s">
        <v>11</v>
      </c>
      <c r="G170">
        <v>3</v>
      </c>
      <c r="H170">
        <v>500</v>
      </c>
      <c r="I170">
        <v>1500</v>
      </c>
    </row>
    <row r="171" spans="1:9">
      <c r="A171" s="2">
        <v>170</v>
      </c>
      <c r="B171" s="1">
        <v>45079</v>
      </c>
      <c r="C171" t="s">
        <v>183</v>
      </c>
      <c r="D171" t="s">
        <v>13</v>
      </c>
      <c r="E171">
        <v>25</v>
      </c>
      <c r="F171" s="2" t="s">
        <v>14</v>
      </c>
      <c r="G171">
        <v>2</v>
      </c>
      <c r="H171">
        <v>25</v>
      </c>
      <c r="I171">
        <v>50</v>
      </c>
    </row>
    <row r="172" spans="1:9">
      <c r="A172" s="2">
        <v>171</v>
      </c>
      <c r="B172" s="1">
        <v>45254</v>
      </c>
      <c r="C172" t="s">
        <v>184</v>
      </c>
      <c r="D172" t="s">
        <v>13</v>
      </c>
      <c r="E172">
        <v>52</v>
      </c>
      <c r="F172" s="2" t="s">
        <v>14</v>
      </c>
      <c r="G172">
        <v>3</v>
      </c>
      <c r="H172">
        <v>300</v>
      </c>
      <c r="I172">
        <v>900</v>
      </c>
    </row>
    <row r="173" spans="1:9">
      <c r="A173" s="2">
        <v>172</v>
      </c>
      <c r="B173" s="1">
        <v>45186</v>
      </c>
      <c r="C173" t="s">
        <v>185</v>
      </c>
      <c r="D173" t="s">
        <v>10</v>
      </c>
      <c r="E173">
        <v>32</v>
      </c>
      <c r="F173" s="2" t="s">
        <v>11</v>
      </c>
      <c r="G173">
        <v>2</v>
      </c>
      <c r="H173">
        <v>25</v>
      </c>
      <c r="I173">
        <v>50</v>
      </c>
    </row>
    <row r="174" spans="1:9">
      <c r="A174" s="2">
        <v>173</v>
      </c>
      <c r="B174" s="1">
        <v>45238</v>
      </c>
      <c r="C174" t="s">
        <v>186</v>
      </c>
      <c r="D174" t="s">
        <v>10</v>
      </c>
      <c r="E174">
        <v>64</v>
      </c>
      <c r="F174" s="2" t="s">
        <v>16</v>
      </c>
      <c r="G174">
        <v>4</v>
      </c>
      <c r="H174">
        <v>30</v>
      </c>
      <c r="I174">
        <v>120</v>
      </c>
    </row>
    <row r="175" spans="1:9">
      <c r="A175" s="2">
        <v>174</v>
      </c>
      <c r="B175" s="1">
        <v>45028</v>
      </c>
      <c r="C175" t="s">
        <v>187</v>
      </c>
      <c r="D175" t="s">
        <v>13</v>
      </c>
      <c r="E175">
        <v>39</v>
      </c>
      <c r="F175" s="2" t="s">
        <v>11</v>
      </c>
      <c r="G175">
        <v>1</v>
      </c>
      <c r="H175">
        <v>300</v>
      </c>
      <c r="I175">
        <v>300</v>
      </c>
    </row>
    <row r="176" spans="1:9">
      <c r="A176" s="2">
        <v>175</v>
      </c>
      <c r="B176" s="1">
        <v>45005</v>
      </c>
      <c r="C176" t="s">
        <v>188</v>
      </c>
      <c r="D176" t="s">
        <v>13</v>
      </c>
      <c r="E176">
        <v>31</v>
      </c>
      <c r="F176" s="2" t="s">
        <v>16</v>
      </c>
      <c r="G176">
        <v>4</v>
      </c>
      <c r="H176">
        <v>25</v>
      </c>
      <c r="I176">
        <v>100</v>
      </c>
    </row>
    <row r="177" spans="1:9">
      <c r="A177" s="2">
        <v>176</v>
      </c>
      <c r="B177" s="1">
        <v>45118</v>
      </c>
      <c r="C177" t="s">
        <v>189</v>
      </c>
      <c r="D177" t="s">
        <v>13</v>
      </c>
      <c r="E177">
        <v>43</v>
      </c>
      <c r="F177" s="2" t="s">
        <v>11</v>
      </c>
      <c r="G177">
        <v>2</v>
      </c>
      <c r="H177">
        <v>50</v>
      </c>
      <c r="I177">
        <v>100</v>
      </c>
    </row>
    <row r="178" spans="1:9">
      <c r="A178" s="2">
        <v>177</v>
      </c>
      <c r="B178" s="1">
        <v>45009</v>
      </c>
      <c r="C178" t="s">
        <v>190</v>
      </c>
      <c r="D178" t="s">
        <v>10</v>
      </c>
      <c r="E178">
        <v>45</v>
      </c>
      <c r="F178" s="2" t="s">
        <v>11</v>
      </c>
      <c r="G178">
        <v>2</v>
      </c>
      <c r="H178">
        <v>50</v>
      </c>
      <c r="I178">
        <v>100</v>
      </c>
    </row>
    <row r="179" spans="1:9">
      <c r="A179" s="2">
        <v>178</v>
      </c>
      <c r="B179" s="1">
        <v>45203</v>
      </c>
      <c r="C179" t="s">
        <v>191</v>
      </c>
      <c r="D179" t="s">
        <v>10</v>
      </c>
      <c r="E179">
        <v>40</v>
      </c>
      <c r="F179" s="2" t="s">
        <v>14</v>
      </c>
      <c r="G179">
        <v>2</v>
      </c>
      <c r="H179">
        <v>30</v>
      </c>
      <c r="I179">
        <v>60</v>
      </c>
    </row>
    <row r="180" spans="1:9">
      <c r="A180" s="2">
        <v>179</v>
      </c>
      <c r="B180" s="1">
        <v>45198</v>
      </c>
      <c r="C180" t="s">
        <v>192</v>
      </c>
      <c r="D180" t="s">
        <v>10</v>
      </c>
      <c r="E180">
        <v>31</v>
      </c>
      <c r="F180" s="2" t="s">
        <v>16</v>
      </c>
      <c r="G180">
        <v>1</v>
      </c>
      <c r="H180">
        <v>300</v>
      </c>
      <c r="I180">
        <v>300</v>
      </c>
    </row>
    <row r="181" spans="1:9">
      <c r="A181" s="2">
        <v>180</v>
      </c>
      <c r="B181" s="1">
        <v>44927</v>
      </c>
      <c r="C181" t="s">
        <v>193</v>
      </c>
      <c r="D181" t="s">
        <v>10</v>
      </c>
      <c r="E181">
        <v>41</v>
      </c>
      <c r="F181" s="2" t="s">
        <v>14</v>
      </c>
      <c r="G181">
        <v>3</v>
      </c>
      <c r="H181">
        <v>300</v>
      </c>
      <c r="I181">
        <v>900</v>
      </c>
    </row>
    <row r="182" spans="1:9">
      <c r="A182" s="2">
        <v>181</v>
      </c>
      <c r="B182" s="1">
        <v>45233</v>
      </c>
      <c r="C182" t="s">
        <v>194</v>
      </c>
      <c r="D182" t="s">
        <v>10</v>
      </c>
      <c r="E182">
        <v>19</v>
      </c>
      <c r="F182" s="2" t="s">
        <v>16</v>
      </c>
      <c r="G182">
        <v>4</v>
      </c>
      <c r="H182">
        <v>300</v>
      </c>
      <c r="I182">
        <v>1200</v>
      </c>
    </row>
    <row r="183" spans="1:9">
      <c r="A183" s="2">
        <v>182</v>
      </c>
      <c r="B183" s="1">
        <v>45092</v>
      </c>
      <c r="C183" t="s">
        <v>195</v>
      </c>
      <c r="D183" t="s">
        <v>10</v>
      </c>
      <c r="E183">
        <v>62</v>
      </c>
      <c r="F183" s="2" t="s">
        <v>11</v>
      </c>
      <c r="G183">
        <v>4</v>
      </c>
      <c r="H183">
        <v>30</v>
      </c>
      <c r="I183">
        <v>120</v>
      </c>
    </row>
    <row r="184" spans="1:9">
      <c r="A184" s="2">
        <v>183</v>
      </c>
      <c r="B184" s="1">
        <v>45177</v>
      </c>
      <c r="C184" t="s">
        <v>196</v>
      </c>
      <c r="D184" t="s">
        <v>13</v>
      </c>
      <c r="E184">
        <v>43</v>
      </c>
      <c r="F184" s="2" t="s">
        <v>11</v>
      </c>
      <c r="G184">
        <v>3</v>
      </c>
      <c r="H184">
        <v>300</v>
      </c>
      <c r="I184">
        <v>900</v>
      </c>
    </row>
    <row r="185" spans="1:9">
      <c r="A185" s="2">
        <v>184</v>
      </c>
      <c r="B185" s="1">
        <v>44936</v>
      </c>
      <c r="C185" t="s">
        <v>197</v>
      </c>
      <c r="D185" t="s">
        <v>10</v>
      </c>
      <c r="E185">
        <v>31</v>
      </c>
      <c r="F185" s="2" t="s">
        <v>16</v>
      </c>
      <c r="G185">
        <v>4</v>
      </c>
      <c r="H185">
        <v>50</v>
      </c>
      <c r="I185">
        <v>200</v>
      </c>
    </row>
    <row r="186" spans="1:9">
      <c r="A186" s="2">
        <v>185</v>
      </c>
      <c r="B186" s="1">
        <v>44984</v>
      </c>
      <c r="C186" t="s">
        <v>198</v>
      </c>
      <c r="D186" t="s">
        <v>10</v>
      </c>
      <c r="E186">
        <v>24</v>
      </c>
      <c r="F186" s="2" t="s">
        <v>14</v>
      </c>
      <c r="G186">
        <v>1</v>
      </c>
      <c r="H186">
        <v>25</v>
      </c>
      <c r="I186">
        <v>25</v>
      </c>
    </row>
    <row r="187" spans="1:9">
      <c r="A187" s="2">
        <v>186</v>
      </c>
      <c r="B187" s="1">
        <v>45112</v>
      </c>
      <c r="C187" t="s">
        <v>199</v>
      </c>
      <c r="D187" t="s">
        <v>10</v>
      </c>
      <c r="E187">
        <v>20</v>
      </c>
      <c r="F187" s="2" t="s">
        <v>14</v>
      </c>
      <c r="G187">
        <v>4</v>
      </c>
      <c r="H187">
        <v>50</v>
      </c>
      <c r="I187">
        <v>200</v>
      </c>
    </row>
    <row r="188" spans="1:9">
      <c r="A188" s="2">
        <v>187</v>
      </c>
      <c r="B188" s="1">
        <v>45084</v>
      </c>
      <c r="C188" t="s">
        <v>200</v>
      </c>
      <c r="D188" t="s">
        <v>13</v>
      </c>
      <c r="E188">
        <v>64</v>
      </c>
      <c r="F188" s="2" t="s">
        <v>14</v>
      </c>
      <c r="G188">
        <v>2</v>
      </c>
      <c r="H188">
        <v>50</v>
      </c>
      <c r="I188">
        <v>100</v>
      </c>
    </row>
    <row r="189" spans="1:9">
      <c r="A189" s="2">
        <v>188</v>
      </c>
      <c r="B189" s="1">
        <v>45049</v>
      </c>
      <c r="C189" t="s">
        <v>201</v>
      </c>
      <c r="D189" t="s">
        <v>10</v>
      </c>
      <c r="E189">
        <v>40</v>
      </c>
      <c r="F189" s="2" t="s">
        <v>14</v>
      </c>
      <c r="G189">
        <v>3</v>
      </c>
      <c r="H189">
        <v>25</v>
      </c>
      <c r="I189">
        <v>75</v>
      </c>
    </row>
    <row r="190" spans="1:9">
      <c r="A190" s="2">
        <v>189</v>
      </c>
      <c r="B190" s="1">
        <v>44956</v>
      </c>
      <c r="C190" t="s">
        <v>202</v>
      </c>
      <c r="D190" t="s">
        <v>10</v>
      </c>
      <c r="E190">
        <v>63</v>
      </c>
      <c r="F190" s="2" t="s">
        <v>11</v>
      </c>
      <c r="G190">
        <v>1</v>
      </c>
      <c r="H190">
        <v>50</v>
      </c>
      <c r="I190">
        <v>50</v>
      </c>
    </row>
    <row r="191" spans="1:9">
      <c r="A191" s="2">
        <v>190</v>
      </c>
      <c r="B191" s="1">
        <v>45050</v>
      </c>
      <c r="C191" t="s">
        <v>203</v>
      </c>
      <c r="D191" t="s">
        <v>13</v>
      </c>
      <c r="E191">
        <v>60</v>
      </c>
      <c r="F191" s="2" t="s">
        <v>11</v>
      </c>
      <c r="G191">
        <v>3</v>
      </c>
      <c r="H191">
        <v>30</v>
      </c>
      <c r="I191">
        <v>90</v>
      </c>
    </row>
    <row r="192" spans="1:9">
      <c r="A192" s="2">
        <v>191</v>
      </c>
      <c r="B192" s="1">
        <v>45217</v>
      </c>
      <c r="C192" t="s">
        <v>204</v>
      </c>
      <c r="D192" t="s">
        <v>10</v>
      </c>
      <c r="E192">
        <v>64</v>
      </c>
      <c r="F192" s="2" t="s">
        <v>11</v>
      </c>
      <c r="G192">
        <v>1</v>
      </c>
      <c r="H192">
        <v>25</v>
      </c>
      <c r="I192">
        <v>25</v>
      </c>
    </row>
    <row r="193" spans="1:9">
      <c r="A193" s="2">
        <v>192</v>
      </c>
      <c r="B193" s="1">
        <v>44967</v>
      </c>
      <c r="C193" t="s">
        <v>205</v>
      </c>
      <c r="D193" t="s">
        <v>10</v>
      </c>
      <c r="E193">
        <v>62</v>
      </c>
      <c r="F193" s="2" t="s">
        <v>11</v>
      </c>
      <c r="G193">
        <v>2</v>
      </c>
      <c r="H193">
        <v>50</v>
      </c>
      <c r="I193">
        <v>100</v>
      </c>
    </row>
    <row r="194" spans="1:9">
      <c r="A194" s="2">
        <v>193</v>
      </c>
      <c r="B194" s="1">
        <v>44970</v>
      </c>
      <c r="C194" t="s">
        <v>206</v>
      </c>
      <c r="D194" t="s">
        <v>10</v>
      </c>
      <c r="E194">
        <v>35</v>
      </c>
      <c r="F194" s="2" t="s">
        <v>11</v>
      </c>
      <c r="G194">
        <v>3</v>
      </c>
      <c r="H194">
        <v>500</v>
      </c>
      <c r="I194">
        <v>1500</v>
      </c>
    </row>
    <row r="195" spans="1:9">
      <c r="A195" s="2">
        <v>194</v>
      </c>
      <c r="B195" s="1">
        <v>45175</v>
      </c>
      <c r="C195" t="s">
        <v>207</v>
      </c>
      <c r="D195" t="s">
        <v>10</v>
      </c>
      <c r="E195">
        <v>55</v>
      </c>
      <c r="F195" s="2" t="s">
        <v>14</v>
      </c>
      <c r="G195">
        <v>4</v>
      </c>
      <c r="H195">
        <v>50</v>
      </c>
      <c r="I195">
        <v>200</v>
      </c>
    </row>
    <row r="196" spans="1:9">
      <c r="A196" s="2">
        <v>195</v>
      </c>
      <c r="B196" s="1">
        <v>44962</v>
      </c>
      <c r="C196" t="s">
        <v>208</v>
      </c>
      <c r="D196" t="s">
        <v>10</v>
      </c>
      <c r="E196">
        <v>52</v>
      </c>
      <c r="F196" s="2" t="s">
        <v>14</v>
      </c>
      <c r="G196">
        <v>1</v>
      </c>
      <c r="H196">
        <v>30</v>
      </c>
      <c r="I196">
        <v>30</v>
      </c>
    </row>
    <row r="197" spans="1:9">
      <c r="A197" s="2">
        <v>196</v>
      </c>
      <c r="B197" s="1">
        <v>45199</v>
      </c>
      <c r="C197" t="s">
        <v>209</v>
      </c>
      <c r="D197" t="s">
        <v>13</v>
      </c>
      <c r="E197">
        <v>32</v>
      </c>
      <c r="F197" s="2" t="s">
        <v>14</v>
      </c>
      <c r="G197">
        <v>3</v>
      </c>
      <c r="H197">
        <v>300</v>
      </c>
      <c r="I197">
        <v>900</v>
      </c>
    </row>
    <row r="198" spans="1:9">
      <c r="A198" s="2">
        <v>197</v>
      </c>
      <c r="B198" s="1">
        <v>44991</v>
      </c>
      <c r="C198" t="s">
        <v>210</v>
      </c>
      <c r="D198" t="s">
        <v>13</v>
      </c>
      <c r="E198">
        <v>42</v>
      </c>
      <c r="F198" s="2" t="s">
        <v>14</v>
      </c>
      <c r="G198">
        <v>4</v>
      </c>
      <c r="H198">
        <v>50</v>
      </c>
      <c r="I198">
        <v>200</v>
      </c>
    </row>
    <row r="199" spans="1:9">
      <c r="A199" s="2">
        <v>198</v>
      </c>
      <c r="B199" s="1">
        <v>44992</v>
      </c>
      <c r="C199" t="s">
        <v>211</v>
      </c>
      <c r="D199" t="s">
        <v>13</v>
      </c>
      <c r="E199">
        <v>54</v>
      </c>
      <c r="F199" s="2" t="s">
        <v>11</v>
      </c>
      <c r="G199">
        <v>3</v>
      </c>
      <c r="H199">
        <v>300</v>
      </c>
      <c r="I199">
        <v>900</v>
      </c>
    </row>
    <row r="200" spans="1:9">
      <c r="A200" s="2">
        <v>199</v>
      </c>
      <c r="B200" s="1">
        <v>45264</v>
      </c>
      <c r="C200" t="s">
        <v>212</v>
      </c>
      <c r="D200" t="s">
        <v>10</v>
      </c>
      <c r="E200">
        <v>45</v>
      </c>
      <c r="F200" s="2" t="s">
        <v>11</v>
      </c>
      <c r="G200">
        <v>3</v>
      </c>
      <c r="H200">
        <v>500</v>
      </c>
      <c r="I200">
        <v>1500</v>
      </c>
    </row>
    <row r="201" spans="1:9">
      <c r="A201" s="2">
        <v>200</v>
      </c>
      <c r="B201" s="1">
        <v>45170</v>
      </c>
      <c r="C201" t="s">
        <v>213</v>
      </c>
      <c r="D201" t="s">
        <v>10</v>
      </c>
      <c r="E201">
        <v>27</v>
      </c>
      <c r="F201" s="2" t="s">
        <v>11</v>
      </c>
      <c r="G201">
        <v>3</v>
      </c>
      <c r="H201">
        <v>50</v>
      </c>
      <c r="I201">
        <v>150</v>
      </c>
    </row>
    <row r="202" spans="1:9">
      <c r="A202" s="2">
        <v>201</v>
      </c>
      <c r="B202" s="1">
        <v>45208</v>
      </c>
      <c r="C202" t="s">
        <v>214</v>
      </c>
      <c r="D202" t="s">
        <v>10</v>
      </c>
      <c r="E202">
        <v>56</v>
      </c>
      <c r="F202" s="2" t="s">
        <v>16</v>
      </c>
      <c r="G202">
        <v>1</v>
      </c>
      <c r="H202">
        <v>25</v>
      </c>
      <c r="I202">
        <v>25</v>
      </c>
    </row>
    <row r="203" spans="1:9">
      <c r="A203" s="2">
        <v>202</v>
      </c>
      <c r="B203" s="1">
        <v>45011</v>
      </c>
      <c r="C203" t="s">
        <v>215</v>
      </c>
      <c r="D203" t="s">
        <v>13</v>
      </c>
      <c r="E203">
        <v>34</v>
      </c>
      <c r="F203" s="2" t="s">
        <v>14</v>
      </c>
      <c r="G203">
        <v>4</v>
      </c>
      <c r="H203">
        <v>300</v>
      </c>
      <c r="I203">
        <v>1200</v>
      </c>
    </row>
    <row r="204" spans="1:9">
      <c r="A204" s="2">
        <v>203</v>
      </c>
      <c r="B204" s="1">
        <v>45062</v>
      </c>
      <c r="C204" t="s">
        <v>216</v>
      </c>
      <c r="D204" t="s">
        <v>10</v>
      </c>
      <c r="E204">
        <v>56</v>
      </c>
      <c r="F204" s="2" t="s">
        <v>14</v>
      </c>
      <c r="G204">
        <v>2</v>
      </c>
      <c r="H204">
        <v>500</v>
      </c>
      <c r="I204">
        <v>1000</v>
      </c>
    </row>
    <row r="205" spans="1:9">
      <c r="A205" s="2">
        <v>204</v>
      </c>
      <c r="B205" s="1">
        <v>45197</v>
      </c>
      <c r="C205" t="s">
        <v>217</v>
      </c>
      <c r="D205" t="s">
        <v>10</v>
      </c>
      <c r="E205">
        <v>39</v>
      </c>
      <c r="F205" s="2" t="s">
        <v>11</v>
      </c>
      <c r="G205">
        <v>1</v>
      </c>
      <c r="H205">
        <v>25</v>
      </c>
      <c r="I205">
        <v>25</v>
      </c>
    </row>
    <row r="206" spans="1:9">
      <c r="A206" s="2">
        <v>205</v>
      </c>
      <c r="B206" s="1">
        <v>45237</v>
      </c>
      <c r="C206" t="s">
        <v>218</v>
      </c>
      <c r="D206" t="s">
        <v>13</v>
      </c>
      <c r="E206">
        <v>43</v>
      </c>
      <c r="F206" s="2" t="s">
        <v>14</v>
      </c>
      <c r="G206">
        <v>1</v>
      </c>
      <c r="H206">
        <v>25</v>
      </c>
      <c r="I206">
        <v>25</v>
      </c>
    </row>
    <row r="207" spans="1:9">
      <c r="A207" s="2">
        <v>206</v>
      </c>
      <c r="B207" s="1">
        <v>45143</v>
      </c>
      <c r="C207" t="s">
        <v>219</v>
      </c>
      <c r="D207" t="s">
        <v>10</v>
      </c>
      <c r="E207">
        <v>61</v>
      </c>
      <c r="F207" s="2" t="s">
        <v>14</v>
      </c>
      <c r="G207">
        <v>1</v>
      </c>
      <c r="H207">
        <v>25</v>
      </c>
      <c r="I207">
        <v>25</v>
      </c>
    </row>
    <row r="208" spans="1:9">
      <c r="A208" s="2">
        <v>207</v>
      </c>
      <c r="B208" s="1">
        <v>45035</v>
      </c>
      <c r="C208" t="s">
        <v>220</v>
      </c>
      <c r="D208" t="s">
        <v>13</v>
      </c>
      <c r="E208">
        <v>42</v>
      </c>
      <c r="F208" s="2" t="s">
        <v>11</v>
      </c>
      <c r="G208">
        <v>2</v>
      </c>
      <c r="H208">
        <v>25</v>
      </c>
      <c r="I208">
        <v>50</v>
      </c>
    </row>
    <row r="209" spans="1:9">
      <c r="A209" s="2">
        <v>208</v>
      </c>
      <c r="B209" s="1">
        <v>45203</v>
      </c>
      <c r="C209" t="s">
        <v>221</v>
      </c>
      <c r="D209" t="s">
        <v>13</v>
      </c>
      <c r="E209">
        <v>34</v>
      </c>
      <c r="F209" s="2" t="s">
        <v>16</v>
      </c>
      <c r="G209">
        <v>4</v>
      </c>
      <c r="H209">
        <v>50</v>
      </c>
      <c r="I209">
        <v>200</v>
      </c>
    </row>
    <row r="210" spans="1:9">
      <c r="A210" s="2">
        <v>209</v>
      </c>
      <c r="B210" s="1">
        <v>45280</v>
      </c>
      <c r="C210" t="s">
        <v>222</v>
      </c>
      <c r="D210" t="s">
        <v>13</v>
      </c>
      <c r="E210">
        <v>30</v>
      </c>
      <c r="F210" s="2" t="s">
        <v>16</v>
      </c>
      <c r="G210">
        <v>4</v>
      </c>
      <c r="H210">
        <v>50</v>
      </c>
      <c r="I210">
        <v>200</v>
      </c>
    </row>
    <row r="211" spans="1:9">
      <c r="A211" s="2">
        <v>210</v>
      </c>
      <c r="B211" s="1">
        <v>45029</v>
      </c>
      <c r="C211" t="s">
        <v>223</v>
      </c>
      <c r="D211" t="s">
        <v>10</v>
      </c>
      <c r="E211">
        <v>37</v>
      </c>
      <c r="F211" s="2" t="s">
        <v>16</v>
      </c>
      <c r="G211">
        <v>4</v>
      </c>
      <c r="H211">
        <v>50</v>
      </c>
      <c r="I211">
        <v>200</v>
      </c>
    </row>
    <row r="212" spans="1:9">
      <c r="A212" s="2">
        <v>211</v>
      </c>
      <c r="B212" s="1">
        <v>45292</v>
      </c>
      <c r="C212" t="s">
        <v>224</v>
      </c>
      <c r="D212" t="s">
        <v>10</v>
      </c>
      <c r="E212">
        <v>42</v>
      </c>
      <c r="F212" s="2" t="s">
        <v>11</v>
      </c>
      <c r="G212">
        <v>3</v>
      </c>
      <c r="H212">
        <v>500</v>
      </c>
      <c r="I212">
        <v>1500</v>
      </c>
    </row>
    <row r="213" spans="1:9">
      <c r="A213" s="2">
        <v>212</v>
      </c>
      <c r="B213" s="1">
        <v>45086</v>
      </c>
      <c r="C213" t="s">
        <v>225</v>
      </c>
      <c r="D213" t="s">
        <v>10</v>
      </c>
      <c r="E213">
        <v>21</v>
      </c>
      <c r="F213" s="2" t="s">
        <v>14</v>
      </c>
      <c r="G213">
        <v>3</v>
      </c>
      <c r="H213">
        <v>500</v>
      </c>
      <c r="I213">
        <v>1500</v>
      </c>
    </row>
    <row r="214" spans="1:9">
      <c r="A214" s="2">
        <v>213</v>
      </c>
      <c r="B214" s="1">
        <v>45131</v>
      </c>
      <c r="C214" t="s">
        <v>226</v>
      </c>
      <c r="D214" t="s">
        <v>10</v>
      </c>
      <c r="E214">
        <v>27</v>
      </c>
      <c r="F214" s="2" t="s">
        <v>11</v>
      </c>
      <c r="G214">
        <v>3</v>
      </c>
      <c r="H214">
        <v>500</v>
      </c>
      <c r="I214">
        <v>1500</v>
      </c>
    </row>
    <row r="215" spans="1:9">
      <c r="A215" s="2">
        <v>214</v>
      </c>
      <c r="B215" s="1">
        <v>45270</v>
      </c>
      <c r="C215" t="s">
        <v>227</v>
      </c>
      <c r="D215" t="s">
        <v>10</v>
      </c>
      <c r="E215">
        <v>20</v>
      </c>
      <c r="F215" s="2" t="s">
        <v>11</v>
      </c>
      <c r="G215">
        <v>2</v>
      </c>
      <c r="H215">
        <v>30</v>
      </c>
      <c r="I215">
        <v>60</v>
      </c>
    </row>
    <row r="216" spans="1:9">
      <c r="A216" s="2">
        <v>215</v>
      </c>
      <c r="B216" s="1">
        <v>45259</v>
      </c>
      <c r="C216" t="s">
        <v>228</v>
      </c>
      <c r="D216" t="s">
        <v>10</v>
      </c>
      <c r="E216">
        <v>58</v>
      </c>
      <c r="F216" s="2" t="s">
        <v>14</v>
      </c>
      <c r="G216">
        <v>3</v>
      </c>
      <c r="H216">
        <v>500</v>
      </c>
      <c r="I216">
        <v>1500</v>
      </c>
    </row>
    <row r="217" spans="1:9">
      <c r="A217" s="2">
        <v>216</v>
      </c>
      <c r="B217" s="1">
        <v>45118</v>
      </c>
      <c r="C217" t="s">
        <v>229</v>
      </c>
      <c r="D217" t="s">
        <v>10</v>
      </c>
      <c r="E217">
        <v>62</v>
      </c>
      <c r="F217" s="2" t="s">
        <v>16</v>
      </c>
      <c r="G217">
        <v>2</v>
      </c>
      <c r="H217">
        <v>50</v>
      </c>
      <c r="I217">
        <v>100</v>
      </c>
    </row>
    <row r="218" spans="1:9">
      <c r="A218" s="2">
        <v>217</v>
      </c>
      <c r="B218" s="1">
        <v>45151</v>
      </c>
      <c r="C218" t="s">
        <v>230</v>
      </c>
      <c r="D218" t="s">
        <v>13</v>
      </c>
      <c r="E218">
        <v>35</v>
      </c>
      <c r="F218" s="2" t="s">
        <v>16</v>
      </c>
      <c r="G218">
        <v>4</v>
      </c>
      <c r="H218">
        <v>50</v>
      </c>
      <c r="I218">
        <v>200</v>
      </c>
    </row>
    <row r="219" spans="1:9">
      <c r="A219" s="2">
        <v>218</v>
      </c>
      <c r="B219" s="1">
        <v>45191</v>
      </c>
      <c r="C219" t="s">
        <v>231</v>
      </c>
      <c r="D219" t="s">
        <v>10</v>
      </c>
      <c r="E219">
        <v>64</v>
      </c>
      <c r="F219" s="2" t="s">
        <v>11</v>
      </c>
      <c r="G219">
        <v>3</v>
      </c>
      <c r="H219">
        <v>30</v>
      </c>
      <c r="I219">
        <v>90</v>
      </c>
    </row>
    <row r="220" spans="1:9">
      <c r="A220" s="2">
        <v>219</v>
      </c>
      <c r="B220" s="1">
        <v>45158</v>
      </c>
      <c r="C220" t="s">
        <v>232</v>
      </c>
      <c r="D220" t="s">
        <v>13</v>
      </c>
      <c r="E220">
        <v>53</v>
      </c>
      <c r="F220" s="2" t="s">
        <v>16</v>
      </c>
      <c r="G220">
        <v>3</v>
      </c>
      <c r="H220">
        <v>30</v>
      </c>
      <c r="I220">
        <v>90</v>
      </c>
    </row>
    <row r="221" spans="1:9">
      <c r="A221" s="2">
        <v>220</v>
      </c>
      <c r="B221" s="1">
        <v>44988</v>
      </c>
      <c r="C221" t="s">
        <v>233</v>
      </c>
      <c r="D221" t="s">
        <v>10</v>
      </c>
      <c r="E221">
        <v>64</v>
      </c>
      <c r="F221" s="2" t="s">
        <v>11</v>
      </c>
      <c r="G221">
        <v>1</v>
      </c>
      <c r="H221">
        <v>500</v>
      </c>
      <c r="I221">
        <v>500</v>
      </c>
    </row>
    <row r="222" spans="1:9">
      <c r="A222" s="2">
        <v>221</v>
      </c>
      <c r="B222" s="1">
        <v>45053</v>
      </c>
      <c r="C222" t="s">
        <v>234</v>
      </c>
      <c r="D222" t="s">
        <v>10</v>
      </c>
      <c r="E222">
        <v>39</v>
      </c>
      <c r="F222" s="2" t="s">
        <v>11</v>
      </c>
      <c r="G222">
        <v>2</v>
      </c>
      <c r="H222">
        <v>300</v>
      </c>
      <c r="I222">
        <v>600</v>
      </c>
    </row>
    <row r="223" spans="1:9">
      <c r="A223" s="2">
        <v>222</v>
      </c>
      <c r="B223" s="1">
        <v>45042</v>
      </c>
      <c r="C223" t="s">
        <v>235</v>
      </c>
      <c r="D223" t="s">
        <v>10</v>
      </c>
      <c r="E223">
        <v>51</v>
      </c>
      <c r="F223" s="2" t="s">
        <v>14</v>
      </c>
      <c r="G223">
        <v>4</v>
      </c>
      <c r="H223">
        <v>30</v>
      </c>
      <c r="I223">
        <v>120</v>
      </c>
    </row>
    <row r="224" spans="1:9">
      <c r="A224" s="2">
        <v>223</v>
      </c>
      <c r="B224" s="1">
        <v>44959</v>
      </c>
      <c r="C224" t="s">
        <v>236</v>
      </c>
      <c r="D224" t="s">
        <v>13</v>
      </c>
      <c r="E224">
        <v>64</v>
      </c>
      <c r="F224" s="2" t="s">
        <v>14</v>
      </c>
      <c r="G224">
        <v>1</v>
      </c>
      <c r="H224">
        <v>25</v>
      </c>
      <c r="I224">
        <v>25</v>
      </c>
    </row>
    <row r="225" spans="1:9">
      <c r="A225" s="2">
        <v>224</v>
      </c>
      <c r="B225" s="1">
        <v>45100</v>
      </c>
      <c r="C225" t="s">
        <v>237</v>
      </c>
      <c r="D225" t="s">
        <v>13</v>
      </c>
      <c r="E225">
        <v>25</v>
      </c>
      <c r="F225" s="2" t="s">
        <v>14</v>
      </c>
      <c r="G225">
        <v>1</v>
      </c>
      <c r="H225">
        <v>50</v>
      </c>
      <c r="I225">
        <v>50</v>
      </c>
    </row>
    <row r="226" spans="1:9">
      <c r="A226" s="2">
        <v>225</v>
      </c>
      <c r="B226" s="1">
        <v>44937</v>
      </c>
      <c r="C226" t="s">
        <v>238</v>
      </c>
      <c r="D226" t="s">
        <v>13</v>
      </c>
      <c r="E226">
        <v>57</v>
      </c>
      <c r="F226" s="2" t="s">
        <v>11</v>
      </c>
      <c r="G226">
        <v>4</v>
      </c>
      <c r="H226">
        <v>25</v>
      </c>
      <c r="I226">
        <v>100</v>
      </c>
    </row>
    <row r="227" spans="1:9">
      <c r="A227" s="2">
        <v>226</v>
      </c>
      <c r="B227" s="1">
        <v>45228</v>
      </c>
      <c r="C227" t="s">
        <v>239</v>
      </c>
      <c r="D227" t="s">
        <v>13</v>
      </c>
      <c r="E227">
        <v>61</v>
      </c>
      <c r="F227" s="2" t="s">
        <v>14</v>
      </c>
      <c r="G227">
        <v>1</v>
      </c>
      <c r="H227">
        <v>50</v>
      </c>
      <c r="I227">
        <v>50</v>
      </c>
    </row>
    <row r="228" spans="1:9">
      <c r="A228" s="2">
        <v>227</v>
      </c>
      <c r="B228" s="1">
        <v>45210</v>
      </c>
      <c r="C228" t="s">
        <v>240</v>
      </c>
      <c r="D228" t="s">
        <v>10</v>
      </c>
      <c r="E228">
        <v>36</v>
      </c>
      <c r="F228" s="2" t="s">
        <v>16</v>
      </c>
      <c r="G228">
        <v>2</v>
      </c>
      <c r="H228">
        <v>50</v>
      </c>
      <c r="I228">
        <v>100</v>
      </c>
    </row>
    <row r="229" spans="1:9">
      <c r="A229" s="2">
        <v>228</v>
      </c>
      <c r="B229" s="1">
        <v>45044</v>
      </c>
      <c r="C229" t="s">
        <v>241</v>
      </c>
      <c r="D229" t="s">
        <v>13</v>
      </c>
      <c r="E229">
        <v>59</v>
      </c>
      <c r="F229" s="2" t="s">
        <v>16</v>
      </c>
      <c r="G229">
        <v>2</v>
      </c>
      <c r="H229">
        <v>30</v>
      </c>
      <c r="I229">
        <v>60</v>
      </c>
    </row>
    <row r="230" spans="1:9">
      <c r="A230" s="2">
        <v>229</v>
      </c>
      <c r="B230" s="1">
        <v>45228</v>
      </c>
      <c r="C230" t="s">
        <v>242</v>
      </c>
      <c r="D230" t="s">
        <v>10</v>
      </c>
      <c r="E230">
        <v>58</v>
      </c>
      <c r="F230" s="2" t="s">
        <v>11</v>
      </c>
      <c r="G230">
        <v>3</v>
      </c>
      <c r="H230">
        <v>30</v>
      </c>
      <c r="I230">
        <v>90</v>
      </c>
    </row>
    <row r="231" spans="1:9">
      <c r="A231" s="2">
        <v>230</v>
      </c>
      <c r="B231" s="1">
        <v>45039</v>
      </c>
      <c r="C231" t="s">
        <v>243</v>
      </c>
      <c r="D231" t="s">
        <v>10</v>
      </c>
      <c r="E231">
        <v>54</v>
      </c>
      <c r="F231" s="2" t="s">
        <v>11</v>
      </c>
      <c r="G231">
        <v>1</v>
      </c>
      <c r="H231">
        <v>25</v>
      </c>
      <c r="I231">
        <v>25</v>
      </c>
    </row>
    <row r="232" spans="1:9">
      <c r="A232" s="2">
        <v>231</v>
      </c>
      <c r="B232" s="1">
        <v>44930</v>
      </c>
      <c r="C232" t="s">
        <v>244</v>
      </c>
      <c r="D232" t="s">
        <v>13</v>
      </c>
      <c r="E232">
        <v>23</v>
      </c>
      <c r="F232" s="2" t="s">
        <v>14</v>
      </c>
      <c r="G232">
        <v>3</v>
      </c>
      <c r="H232">
        <v>50</v>
      </c>
      <c r="I232">
        <v>150</v>
      </c>
    </row>
    <row r="233" spans="1:9">
      <c r="A233" s="2">
        <v>232</v>
      </c>
      <c r="B233" s="1">
        <v>44963</v>
      </c>
      <c r="C233" t="s">
        <v>245</v>
      </c>
      <c r="D233" t="s">
        <v>13</v>
      </c>
      <c r="E233">
        <v>43</v>
      </c>
      <c r="F233" s="2" t="s">
        <v>11</v>
      </c>
      <c r="G233">
        <v>1</v>
      </c>
      <c r="H233">
        <v>25</v>
      </c>
      <c r="I233">
        <v>25</v>
      </c>
    </row>
    <row r="234" spans="1:9">
      <c r="A234" s="2">
        <v>233</v>
      </c>
      <c r="B234" s="1">
        <v>45289</v>
      </c>
      <c r="C234" t="s">
        <v>246</v>
      </c>
      <c r="D234" t="s">
        <v>13</v>
      </c>
      <c r="E234">
        <v>51</v>
      </c>
      <c r="F234" s="2" t="s">
        <v>11</v>
      </c>
      <c r="G234">
        <v>2</v>
      </c>
      <c r="H234">
        <v>300</v>
      </c>
      <c r="I234">
        <v>600</v>
      </c>
    </row>
    <row r="235" spans="1:9">
      <c r="A235" s="2">
        <v>234</v>
      </c>
      <c r="B235" s="1">
        <v>45250</v>
      </c>
      <c r="C235" t="s">
        <v>247</v>
      </c>
      <c r="D235" t="s">
        <v>13</v>
      </c>
      <c r="E235">
        <v>62</v>
      </c>
      <c r="F235" s="2" t="s">
        <v>16</v>
      </c>
      <c r="G235">
        <v>2</v>
      </c>
      <c r="H235">
        <v>25</v>
      </c>
      <c r="I235">
        <v>50</v>
      </c>
    </row>
    <row r="236" spans="1:9">
      <c r="A236" s="2">
        <v>235</v>
      </c>
      <c r="B236" s="1">
        <v>44957</v>
      </c>
      <c r="C236" t="s">
        <v>248</v>
      </c>
      <c r="D236" t="s">
        <v>13</v>
      </c>
      <c r="E236">
        <v>23</v>
      </c>
      <c r="F236" s="2" t="s">
        <v>16</v>
      </c>
      <c r="G236">
        <v>2</v>
      </c>
      <c r="H236">
        <v>500</v>
      </c>
      <c r="I236">
        <v>1000</v>
      </c>
    </row>
    <row r="237" spans="1:9">
      <c r="A237" s="2">
        <v>236</v>
      </c>
      <c r="B237" s="1">
        <v>45044</v>
      </c>
      <c r="C237" t="s">
        <v>249</v>
      </c>
      <c r="D237" t="s">
        <v>13</v>
      </c>
      <c r="E237">
        <v>54</v>
      </c>
      <c r="F237" s="2" t="s">
        <v>14</v>
      </c>
      <c r="G237">
        <v>1</v>
      </c>
      <c r="H237">
        <v>25</v>
      </c>
      <c r="I237">
        <v>25</v>
      </c>
    </row>
    <row r="238" spans="1:9">
      <c r="A238" s="2">
        <v>237</v>
      </c>
      <c r="B238" s="1">
        <v>44961</v>
      </c>
      <c r="C238" t="s">
        <v>250</v>
      </c>
      <c r="D238" t="s">
        <v>13</v>
      </c>
      <c r="E238">
        <v>50</v>
      </c>
      <c r="F238" s="2" t="s">
        <v>11</v>
      </c>
      <c r="G238">
        <v>2</v>
      </c>
      <c r="H238">
        <v>500</v>
      </c>
      <c r="I238">
        <v>1000</v>
      </c>
    </row>
    <row r="239" spans="1:9">
      <c r="A239" s="2">
        <v>238</v>
      </c>
      <c r="B239" s="1">
        <v>44943</v>
      </c>
      <c r="C239" t="s">
        <v>251</v>
      </c>
      <c r="D239" t="s">
        <v>13</v>
      </c>
      <c r="E239">
        <v>39</v>
      </c>
      <c r="F239" s="2" t="s">
        <v>11</v>
      </c>
      <c r="G239">
        <v>1</v>
      </c>
      <c r="H239">
        <v>500</v>
      </c>
      <c r="I239">
        <v>500</v>
      </c>
    </row>
    <row r="240" spans="1:9">
      <c r="A240" s="2">
        <v>239</v>
      </c>
      <c r="B240" s="1">
        <v>45096</v>
      </c>
      <c r="C240" t="s">
        <v>252</v>
      </c>
      <c r="D240" t="s">
        <v>10</v>
      </c>
      <c r="E240">
        <v>38</v>
      </c>
      <c r="F240" s="2" t="s">
        <v>16</v>
      </c>
      <c r="G240">
        <v>3</v>
      </c>
      <c r="H240">
        <v>500</v>
      </c>
      <c r="I240">
        <v>1500</v>
      </c>
    </row>
    <row r="241" spans="1:9">
      <c r="A241" s="2">
        <v>240</v>
      </c>
      <c r="B241" s="1">
        <v>44963</v>
      </c>
      <c r="C241" t="s">
        <v>253</v>
      </c>
      <c r="D241" t="s">
        <v>13</v>
      </c>
      <c r="E241">
        <v>23</v>
      </c>
      <c r="F241" s="2" t="s">
        <v>11</v>
      </c>
      <c r="G241">
        <v>1</v>
      </c>
      <c r="H241">
        <v>300</v>
      </c>
      <c r="I241">
        <v>300</v>
      </c>
    </row>
    <row r="242" spans="1:9">
      <c r="A242" s="2">
        <v>241</v>
      </c>
      <c r="B242" s="1">
        <v>45190</v>
      </c>
      <c r="C242" t="s">
        <v>254</v>
      </c>
      <c r="D242" t="s">
        <v>13</v>
      </c>
      <c r="E242">
        <v>23</v>
      </c>
      <c r="F242" s="2" t="s">
        <v>16</v>
      </c>
      <c r="G242">
        <v>3</v>
      </c>
      <c r="H242">
        <v>25</v>
      </c>
      <c r="I242">
        <v>75</v>
      </c>
    </row>
    <row r="243" spans="1:9">
      <c r="A243" s="2">
        <v>242</v>
      </c>
      <c r="B243" s="1">
        <v>45048</v>
      </c>
      <c r="C243" t="s">
        <v>255</v>
      </c>
      <c r="D243" t="s">
        <v>10</v>
      </c>
      <c r="E243">
        <v>21</v>
      </c>
      <c r="F243" s="2" t="s">
        <v>14</v>
      </c>
      <c r="G243">
        <v>1</v>
      </c>
      <c r="H243">
        <v>25</v>
      </c>
      <c r="I243">
        <v>25</v>
      </c>
    </row>
    <row r="244" spans="1:9">
      <c r="A244" s="2">
        <v>243</v>
      </c>
      <c r="B244" s="1">
        <v>45069</v>
      </c>
      <c r="C244" t="s">
        <v>256</v>
      </c>
      <c r="D244" t="s">
        <v>13</v>
      </c>
      <c r="E244">
        <v>47</v>
      </c>
      <c r="F244" s="2" t="s">
        <v>16</v>
      </c>
      <c r="G244">
        <v>3</v>
      </c>
      <c r="H244">
        <v>300</v>
      </c>
      <c r="I244">
        <v>900</v>
      </c>
    </row>
    <row r="245" spans="1:9">
      <c r="A245" s="2">
        <v>244</v>
      </c>
      <c r="B245" s="1">
        <v>45269</v>
      </c>
      <c r="C245" t="s">
        <v>257</v>
      </c>
      <c r="D245" t="s">
        <v>10</v>
      </c>
      <c r="E245">
        <v>28</v>
      </c>
      <c r="F245" s="2" t="s">
        <v>11</v>
      </c>
      <c r="G245">
        <v>2</v>
      </c>
      <c r="H245">
        <v>50</v>
      </c>
      <c r="I245">
        <v>100</v>
      </c>
    </row>
    <row r="246" spans="1:9">
      <c r="A246" s="2">
        <v>245</v>
      </c>
      <c r="B246" s="1">
        <v>45175</v>
      </c>
      <c r="C246" t="s">
        <v>258</v>
      </c>
      <c r="D246" t="s">
        <v>10</v>
      </c>
      <c r="E246">
        <v>47</v>
      </c>
      <c r="F246" s="2" t="s">
        <v>14</v>
      </c>
      <c r="G246">
        <v>3</v>
      </c>
      <c r="H246">
        <v>30</v>
      </c>
      <c r="I246">
        <v>90</v>
      </c>
    </row>
    <row r="247" spans="1:9">
      <c r="A247" s="2">
        <v>246</v>
      </c>
      <c r="B247" s="1">
        <v>45036</v>
      </c>
      <c r="C247" t="s">
        <v>259</v>
      </c>
      <c r="D247" t="s">
        <v>13</v>
      </c>
      <c r="E247">
        <v>48</v>
      </c>
      <c r="F247" s="2" t="s">
        <v>16</v>
      </c>
      <c r="G247">
        <v>2</v>
      </c>
      <c r="H247">
        <v>25</v>
      </c>
      <c r="I247">
        <v>50</v>
      </c>
    </row>
    <row r="248" spans="1:9">
      <c r="A248" s="2">
        <v>247</v>
      </c>
      <c r="B248" s="1">
        <v>45203</v>
      </c>
      <c r="C248" t="s">
        <v>260</v>
      </c>
      <c r="D248" t="s">
        <v>10</v>
      </c>
      <c r="E248">
        <v>41</v>
      </c>
      <c r="F248" s="2" t="s">
        <v>16</v>
      </c>
      <c r="G248">
        <v>2</v>
      </c>
      <c r="H248">
        <v>30</v>
      </c>
      <c r="I248">
        <v>60</v>
      </c>
    </row>
    <row r="249" spans="1:9">
      <c r="A249" s="2">
        <v>248</v>
      </c>
      <c r="B249" s="1">
        <v>44994</v>
      </c>
      <c r="C249" t="s">
        <v>261</v>
      </c>
      <c r="D249" t="s">
        <v>10</v>
      </c>
      <c r="E249">
        <v>26</v>
      </c>
      <c r="F249" s="2" t="s">
        <v>14</v>
      </c>
      <c r="G249">
        <v>3</v>
      </c>
      <c r="H249">
        <v>300</v>
      </c>
      <c r="I249">
        <v>900</v>
      </c>
    </row>
    <row r="250" spans="1:9">
      <c r="A250" s="2">
        <v>249</v>
      </c>
      <c r="B250" s="1">
        <v>45219</v>
      </c>
      <c r="C250" t="s">
        <v>262</v>
      </c>
      <c r="D250" t="s">
        <v>10</v>
      </c>
      <c r="E250">
        <v>20</v>
      </c>
      <c r="F250" s="2" t="s">
        <v>14</v>
      </c>
      <c r="G250">
        <v>1</v>
      </c>
      <c r="H250">
        <v>50</v>
      </c>
      <c r="I250">
        <v>50</v>
      </c>
    </row>
    <row r="251" spans="1:9">
      <c r="A251" s="2">
        <v>250</v>
      </c>
      <c r="B251" s="1">
        <v>45222</v>
      </c>
      <c r="C251" t="s">
        <v>263</v>
      </c>
      <c r="D251" t="s">
        <v>10</v>
      </c>
      <c r="E251">
        <v>48</v>
      </c>
      <c r="F251" s="2" t="s">
        <v>16</v>
      </c>
      <c r="G251">
        <v>1</v>
      </c>
      <c r="H251">
        <v>50</v>
      </c>
      <c r="I251">
        <v>50</v>
      </c>
    </row>
    <row r="252" spans="1:9">
      <c r="A252" s="2">
        <v>251</v>
      </c>
      <c r="B252" s="1">
        <v>45169</v>
      </c>
      <c r="C252" t="s">
        <v>264</v>
      </c>
      <c r="D252" t="s">
        <v>13</v>
      </c>
      <c r="E252">
        <v>57</v>
      </c>
      <c r="F252" s="2" t="s">
        <v>11</v>
      </c>
      <c r="G252">
        <v>4</v>
      </c>
      <c r="H252">
        <v>50</v>
      </c>
      <c r="I252">
        <v>200</v>
      </c>
    </row>
    <row r="253" spans="1:9">
      <c r="A253" s="2">
        <v>252</v>
      </c>
      <c r="B253" s="1">
        <v>45051</v>
      </c>
      <c r="C253" t="s">
        <v>265</v>
      </c>
      <c r="D253" t="s">
        <v>10</v>
      </c>
      <c r="E253">
        <v>54</v>
      </c>
      <c r="F253" s="2" t="s">
        <v>16</v>
      </c>
      <c r="G253">
        <v>1</v>
      </c>
      <c r="H253">
        <v>300</v>
      </c>
      <c r="I253">
        <v>300</v>
      </c>
    </row>
    <row r="254" spans="1:9">
      <c r="A254" s="2">
        <v>253</v>
      </c>
      <c r="B254" s="1">
        <v>45169</v>
      </c>
      <c r="C254" t="s">
        <v>266</v>
      </c>
      <c r="D254" t="s">
        <v>13</v>
      </c>
      <c r="E254">
        <v>53</v>
      </c>
      <c r="F254" s="2" t="s">
        <v>14</v>
      </c>
      <c r="G254">
        <v>4</v>
      </c>
      <c r="H254">
        <v>500</v>
      </c>
      <c r="I254">
        <v>2000</v>
      </c>
    </row>
    <row r="255" spans="1:9">
      <c r="A255" s="2">
        <v>254</v>
      </c>
      <c r="B255" s="1">
        <v>45135</v>
      </c>
      <c r="C255" t="s">
        <v>267</v>
      </c>
      <c r="D255" t="s">
        <v>10</v>
      </c>
      <c r="E255">
        <v>41</v>
      </c>
      <c r="F255" s="2" t="s">
        <v>16</v>
      </c>
      <c r="G255">
        <v>1</v>
      </c>
      <c r="H255">
        <v>500</v>
      </c>
      <c r="I255">
        <v>500</v>
      </c>
    </row>
    <row r="256" spans="1:9">
      <c r="A256" s="2">
        <v>255</v>
      </c>
      <c r="B256" s="1">
        <v>45024</v>
      </c>
      <c r="C256" t="s">
        <v>268</v>
      </c>
      <c r="D256" t="s">
        <v>10</v>
      </c>
      <c r="E256">
        <v>48</v>
      </c>
      <c r="F256" s="2" t="s">
        <v>14</v>
      </c>
      <c r="G256">
        <v>1</v>
      </c>
      <c r="H256">
        <v>30</v>
      </c>
      <c r="I256">
        <v>30</v>
      </c>
    </row>
    <row r="257" spans="1:9">
      <c r="A257" s="2">
        <v>256</v>
      </c>
      <c r="B257" s="1">
        <v>44975</v>
      </c>
      <c r="C257" t="s">
        <v>269</v>
      </c>
      <c r="D257" t="s">
        <v>10</v>
      </c>
      <c r="E257">
        <v>23</v>
      </c>
      <c r="F257" s="2" t="s">
        <v>14</v>
      </c>
      <c r="G257">
        <v>2</v>
      </c>
      <c r="H257">
        <v>500</v>
      </c>
      <c r="I257">
        <v>1000</v>
      </c>
    </row>
    <row r="258" spans="1:9">
      <c r="A258" s="2">
        <v>257</v>
      </c>
      <c r="B258" s="1">
        <v>44976</v>
      </c>
      <c r="C258" t="s">
        <v>270</v>
      </c>
      <c r="D258" t="s">
        <v>10</v>
      </c>
      <c r="E258">
        <v>19</v>
      </c>
      <c r="F258" s="2" t="s">
        <v>11</v>
      </c>
      <c r="G258">
        <v>4</v>
      </c>
      <c r="H258">
        <v>500</v>
      </c>
      <c r="I258">
        <v>2000</v>
      </c>
    </row>
    <row r="259" spans="1:9">
      <c r="A259" s="2">
        <v>258</v>
      </c>
      <c r="B259" s="1">
        <v>45264</v>
      </c>
      <c r="C259" t="s">
        <v>271</v>
      </c>
      <c r="D259" t="s">
        <v>13</v>
      </c>
      <c r="E259">
        <v>37</v>
      </c>
      <c r="F259" s="2" t="s">
        <v>14</v>
      </c>
      <c r="G259">
        <v>1</v>
      </c>
      <c r="H259">
        <v>50</v>
      </c>
      <c r="I259">
        <v>50</v>
      </c>
    </row>
    <row r="260" spans="1:9">
      <c r="A260" s="2">
        <v>259</v>
      </c>
      <c r="B260" s="1">
        <v>45147</v>
      </c>
      <c r="C260" t="s">
        <v>272</v>
      </c>
      <c r="D260" t="s">
        <v>13</v>
      </c>
      <c r="E260">
        <v>45</v>
      </c>
      <c r="F260" s="2" t="s">
        <v>14</v>
      </c>
      <c r="G260">
        <v>4</v>
      </c>
      <c r="H260">
        <v>50</v>
      </c>
      <c r="I260">
        <v>200</v>
      </c>
    </row>
    <row r="261" spans="1:9">
      <c r="A261" s="2">
        <v>260</v>
      </c>
      <c r="B261" s="1">
        <v>45108</v>
      </c>
      <c r="C261" t="s">
        <v>273</v>
      </c>
      <c r="D261" t="s">
        <v>10</v>
      </c>
      <c r="E261">
        <v>28</v>
      </c>
      <c r="F261" s="2" t="s">
        <v>11</v>
      </c>
      <c r="G261">
        <v>2</v>
      </c>
      <c r="H261">
        <v>30</v>
      </c>
      <c r="I261">
        <v>60</v>
      </c>
    </row>
    <row r="262" spans="1:9">
      <c r="A262" s="2">
        <v>261</v>
      </c>
      <c r="B262" s="1">
        <v>45143</v>
      </c>
      <c r="C262" t="s">
        <v>274</v>
      </c>
      <c r="D262" t="s">
        <v>10</v>
      </c>
      <c r="E262">
        <v>21</v>
      </c>
      <c r="F262" s="2" t="s">
        <v>14</v>
      </c>
      <c r="G262">
        <v>2</v>
      </c>
      <c r="H262">
        <v>25</v>
      </c>
      <c r="I262">
        <v>50</v>
      </c>
    </row>
    <row r="263" spans="1:9">
      <c r="A263" s="2">
        <v>262</v>
      </c>
      <c r="B263" s="1">
        <v>45137</v>
      </c>
      <c r="C263" t="s">
        <v>275</v>
      </c>
      <c r="D263" t="s">
        <v>13</v>
      </c>
      <c r="E263">
        <v>32</v>
      </c>
      <c r="F263" s="2" t="s">
        <v>11</v>
      </c>
      <c r="G263">
        <v>4</v>
      </c>
      <c r="H263">
        <v>30</v>
      </c>
      <c r="I263">
        <v>120</v>
      </c>
    </row>
    <row r="264" spans="1:9">
      <c r="A264" s="2">
        <v>263</v>
      </c>
      <c r="B264" s="1">
        <v>45166</v>
      </c>
      <c r="C264" t="s">
        <v>276</v>
      </c>
      <c r="D264" t="s">
        <v>10</v>
      </c>
      <c r="E264">
        <v>23</v>
      </c>
      <c r="F264" s="2" t="s">
        <v>11</v>
      </c>
      <c r="G264">
        <v>2</v>
      </c>
      <c r="H264">
        <v>30</v>
      </c>
      <c r="I264">
        <v>60</v>
      </c>
    </row>
    <row r="265" spans="1:9">
      <c r="A265" s="2">
        <v>264</v>
      </c>
      <c r="B265" s="1">
        <v>44954</v>
      </c>
      <c r="C265" t="s">
        <v>277</v>
      </c>
      <c r="D265" t="s">
        <v>10</v>
      </c>
      <c r="E265">
        <v>47</v>
      </c>
      <c r="F265" s="2" t="s">
        <v>14</v>
      </c>
      <c r="G265">
        <v>3</v>
      </c>
      <c r="H265">
        <v>300</v>
      </c>
      <c r="I265">
        <v>900</v>
      </c>
    </row>
    <row r="266" spans="1:9">
      <c r="A266" s="2">
        <v>265</v>
      </c>
      <c r="B266" s="1">
        <v>45271</v>
      </c>
      <c r="C266" t="s">
        <v>278</v>
      </c>
      <c r="D266" t="s">
        <v>10</v>
      </c>
      <c r="E266">
        <v>55</v>
      </c>
      <c r="F266" s="2" t="s">
        <v>14</v>
      </c>
      <c r="G266">
        <v>3</v>
      </c>
      <c r="H266">
        <v>300</v>
      </c>
      <c r="I266">
        <v>900</v>
      </c>
    </row>
    <row r="267" spans="1:9">
      <c r="A267" s="2">
        <v>266</v>
      </c>
      <c r="B267" s="1">
        <v>45261</v>
      </c>
      <c r="C267" t="s">
        <v>279</v>
      </c>
      <c r="D267" t="s">
        <v>13</v>
      </c>
      <c r="E267">
        <v>19</v>
      </c>
      <c r="F267" s="2" t="s">
        <v>16</v>
      </c>
      <c r="G267">
        <v>2</v>
      </c>
      <c r="H267">
        <v>30</v>
      </c>
      <c r="I267">
        <v>60</v>
      </c>
    </row>
    <row r="268" spans="1:9">
      <c r="A268" s="2">
        <v>267</v>
      </c>
      <c r="B268" s="1">
        <v>45257</v>
      </c>
      <c r="C268" t="s">
        <v>280</v>
      </c>
      <c r="D268" t="s">
        <v>13</v>
      </c>
      <c r="E268">
        <v>32</v>
      </c>
      <c r="F268" s="2" t="s">
        <v>11</v>
      </c>
      <c r="G268">
        <v>3</v>
      </c>
      <c r="H268">
        <v>30</v>
      </c>
      <c r="I268">
        <v>90</v>
      </c>
    </row>
    <row r="269" spans="1:9">
      <c r="A269" s="2">
        <v>268</v>
      </c>
      <c r="B269" s="1">
        <v>44977</v>
      </c>
      <c r="C269" t="s">
        <v>281</v>
      </c>
      <c r="D269" t="s">
        <v>13</v>
      </c>
      <c r="E269">
        <v>28</v>
      </c>
      <c r="F269" s="2" t="s">
        <v>16</v>
      </c>
      <c r="G269">
        <v>1</v>
      </c>
      <c r="H269">
        <v>30</v>
      </c>
      <c r="I269">
        <v>30</v>
      </c>
    </row>
    <row r="270" spans="1:9">
      <c r="A270" s="2">
        <v>269</v>
      </c>
      <c r="B270" s="1">
        <v>44958</v>
      </c>
      <c r="C270" t="s">
        <v>282</v>
      </c>
      <c r="D270" t="s">
        <v>10</v>
      </c>
      <c r="E270">
        <v>25</v>
      </c>
      <c r="F270" s="2" t="s">
        <v>14</v>
      </c>
      <c r="G270">
        <v>4</v>
      </c>
      <c r="H270">
        <v>500</v>
      </c>
      <c r="I270">
        <v>2000</v>
      </c>
    </row>
    <row r="271" spans="1:9">
      <c r="A271" s="2">
        <v>270</v>
      </c>
      <c r="B271" s="1">
        <v>45133</v>
      </c>
      <c r="C271" t="s">
        <v>283</v>
      </c>
      <c r="D271" t="s">
        <v>10</v>
      </c>
      <c r="E271">
        <v>43</v>
      </c>
      <c r="F271" s="2" t="s">
        <v>16</v>
      </c>
      <c r="G271">
        <v>1</v>
      </c>
      <c r="H271">
        <v>300</v>
      </c>
      <c r="I271">
        <v>300</v>
      </c>
    </row>
    <row r="272" spans="1:9">
      <c r="A272" s="2">
        <v>271</v>
      </c>
      <c r="B272" s="1">
        <v>45100</v>
      </c>
      <c r="C272" t="s">
        <v>284</v>
      </c>
      <c r="D272" t="s">
        <v>13</v>
      </c>
      <c r="E272">
        <v>62</v>
      </c>
      <c r="F272" s="2" t="s">
        <v>11</v>
      </c>
      <c r="G272">
        <v>4</v>
      </c>
      <c r="H272">
        <v>30</v>
      </c>
      <c r="I272">
        <v>120</v>
      </c>
    </row>
    <row r="273" spans="1:9">
      <c r="A273" s="2">
        <v>272</v>
      </c>
      <c r="B273" s="1">
        <v>44982</v>
      </c>
      <c r="C273" t="s">
        <v>285</v>
      </c>
      <c r="D273" t="s">
        <v>13</v>
      </c>
      <c r="E273">
        <v>61</v>
      </c>
      <c r="F273" s="2" t="s">
        <v>16</v>
      </c>
      <c r="G273">
        <v>2</v>
      </c>
      <c r="H273">
        <v>50</v>
      </c>
      <c r="I273">
        <v>100</v>
      </c>
    </row>
    <row r="274" spans="1:9">
      <c r="A274" s="2">
        <v>273</v>
      </c>
      <c r="B274" s="1">
        <v>45054</v>
      </c>
      <c r="C274" t="s">
        <v>286</v>
      </c>
      <c r="D274" t="s">
        <v>13</v>
      </c>
      <c r="E274">
        <v>22</v>
      </c>
      <c r="F274" s="2" t="s">
        <v>11</v>
      </c>
      <c r="G274">
        <v>1</v>
      </c>
      <c r="H274">
        <v>50</v>
      </c>
      <c r="I274">
        <v>50</v>
      </c>
    </row>
    <row r="275" spans="1:9">
      <c r="A275" s="2">
        <v>274</v>
      </c>
      <c r="B275" s="1">
        <v>45025</v>
      </c>
      <c r="C275" t="s">
        <v>287</v>
      </c>
      <c r="D275" t="s">
        <v>13</v>
      </c>
      <c r="E275">
        <v>23</v>
      </c>
      <c r="F275" s="2" t="s">
        <v>14</v>
      </c>
      <c r="G275">
        <v>2</v>
      </c>
      <c r="H275">
        <v>500</v>
      </c>
      <c r="I275">
        <v>1000</v>
      </c>
    </row>
    <row r="276" spans="1:9">
      <c r="A276" s="2">
        <v>275</v>
      </c>
      <c r="B276" s="1">
        <v>45024</v>
      </c>
      <c r="C276" t="s">
        <v>288</v>
      </c>
      <c r="D276" t="s">
        <v>10</v>
      </c>
      <c r="E276">
        <v>43</v>
      </c>
      <c r="F276" s="2" t="s">
        <v>14</v>
      </c>
      <c r="G276">
        <v>2</v>
      </c>
      <c r="H276">
        <v>500</v>
      </c>
      <c r="I276">
        <v>1000</v>
      </c>
    </row>
    <row r="277" spans="1:9">
      <c r="A277" s="2">
        <v>276</v>
      </c>
      <c r="B277" s="1">
        <v>45201</v>
      </c>
      <c r="C277" t="s">
        <v>289</v>
      </c>
      <c r="D277" t="s">
        <v>13</v>
      </c>
      <c r="E277">
        <v>21</v>
      </c>
      <c r="F277" s="2" t="s">
        <v>11</v>
      </c>
      <c r="G277">
        <v>4</v>
      </c>
      <c r="H277">
        <v>25</v>
      </c>
      <c r="I277">
        <v>100</v>
      </c>
    </row>
    <row r="278" spans="1:9">
      <c r="A278" s="2">
        <v>277</v>
      </c>
      <c r="B278" s="1">
        <v>45156</v>
      </c>
      <c r="C278" t="s">
        <v>290</v>
      </c>
      <c r="D278" t="s">
        <v>10</v>
      </c>
      <c r="E278">
        <v>36</v>
      </c>
      <c r="F278" s="2" t="s">
        <v>14</v>
      </c>
      <c r="G278">
        <v>4</v>
      </c>
      <c r="H278">
        <v>25</v>
      </c>
      <c r="I278">
        <v>100</v>
      </c>
    </row>
    <row r="279" spans="1:9">
      <c r="A279" s="2">
        <v>278</v>
      </c>
      <c r="B279" s="1">
        <v>44998</v>
      </c>
      <c r="C279" t="s">
        <v>291</v>
      </c>
      <c r="D279" t="s">
        <v>13</v>
      </c>
      <c r="E279">
        <v>37</v>
      </c>
      <c r="F279" s="2" t="s">
        <v>14</v>
      </c>
      <c r="G279">
        <v>4</v>
      </c>
      <c r="H279">
        <v>25</v>
      </c>
      <c r="I279">
        <v>100</v>
      </c>
    </row>
    <row r="280" spans="1:9">
      <c r="A280" s="2">
        <v>279</v>
      </c>
      <c r="B280" s="1">
        <v>45143</v>
      </c>
      <c r="C280" t="s">
        <v>292</v>
      </c>
      <c r="D280" t="s">
        <v>10</v>
      </c>
      <c r="E280">
        <v>50</v>
      </c>
      <c r="F280" s="2" t="s">
        <v>14</v>
      </c>
      <c r="G280">
        <v>1</v>
      </c>
      <c r="H280">
        <v>500</v>
      </c>
      <c r="I280">
        <v>500</v>
      </c>
    </row>
    <row r="281" spans="1:9">
      <c r="A281" s="2">
        <v>280</v>
      </c>
      <c r="B281" s="1">
        <v>45020</v>
      </c>
      <c r="C281" t="s">
        <v>293</v>
      </c>
      <c r="D281" t="s">
        <v>13</v>
      </c>
      <c r="E281">
        <v>37</v>
      </c>
      <c r="F281" s="2" t="s">
        <v>14</v>
      </c>
      <c r="G281">
        <v>3</v>
      </c>
      <c r="H281">
        <v>500</v>
      </c>
      <c r="I281">
        <v>1500</v>
      </c>
    </row>
    <row r="282" spans="1:9">
      <c r="A282" s="2">
        <v>281</v>
      </c>
      <c r="B282" s="1">
        <v>45069</v>
      </c>
      <c r="C282" t="s">
        <v>294</v>
      </c>
      <c r="D282" t="s">
        <v>13</v>
      </c>
      <c r="E282">
        <v>29</v>
      </c>
      <c r="F282" s="2" t="s">
        <v>11</v>
      </c>
      <c r="G282">
        <v>4</v>
      </c>
      <c r="H282">
        <v>500</v>
      </c>
      <c r="I282">
        <v>2000</v>
      </c>
    </row>
    <row r="283" spans="1:9">
      <c r="A283" s="2">
        <v>282</v>
      </c>
      <c r="B283" s="1">
        <v>45163</v>
      </c>
      <c r="C283" t="s">
        <v>295</v>
      </c>
      <c r="D283" t="s">
        <v>13</v>
      </c>
      <c r="E283">
        <v>64</v>
      </c>
      <c r="F283" s="2" t="s">
        <v>16</v>
      </c>
      <c r="G283">
        <v>4</v>
      </c>
      <c r="H283">
        <v>50</v>
      </c>
      <c r="I283">
        <v>200</v>
      </c>
    </row>
    <row r="284" spans="1:9">
      <c r="A284" s="2">
        <v>283</v>
      </c>
      <c r="B284" s="1">
        <v>45054</v>
      </c>
      <c r="C284" t="s">
        <v>296</v>
      </c>
      <c r="D284" t="s">
        <v>13</v>
      </c>
      <c r="E284">
        <v>18</v>
      </c>
      <c r="F284" s="2" t="s">
        <v>16</v>
      </c>
      <c r="G284">
        <v>1</v>
      </c>
      <c r="H284">
        <v>500</v>
      </c>
      <c r="I284">
        <v>500</v>
      </c>
    </row>
    <row r="285" spans="1:9">
      <c r="A285" s="2">
        <v>284</v>
      </c>
      <c r="B285" s="1">
        <v>44965</v>
      </c>
      <c r="C285" t="s">
        <v>297</v>
      </c>
      <c r="D285" t="s">
        <v>10</v>
      </c>
      <c r="E285">
        <v>43</v>
      </c>
      <c r="F285" s="2" t="s">
        <v>14</v>
      </c>
      <c r="G285">
        <v>4</v>
      </c>
      <c r="H285">
        <v>50</v>
      </c>
      <c r="I285">
        <v>200</v>
      </c>
    </row>
    <row r="286" spans="1:9">
      <c r="A286" s="2">
        <v>285</v>
      </c>
      <c r="B286" s="1">
        <v>45153</v>
      </c>
      <c r="C286" t="s">
        <v>298</v>
      </c>
      <c r="D286" t="s">
        <v>13</v>
      </c>
      <c r="E286">
        <v>31</v>
      </c>
      <c r="F286" s="2" t="s">
        <v>16</v>
      </c>
      <c r="G286">
        <v>1</v>
      </c>
      <c r="H286">
        <v>25</v>
      </c>
      <c r="I286">
        <v>25</v>
      </c>
    </row>
    <row r="287" spans="1:9">
      <c r="A287" s="2">
        <v>286</v>
      </c>
      <c r="B287" s="1">
        <v>45208</v>
      </c>
      <c r="C287" t="s">
        <v>299</v>
      </c>
      <c r="D287" t="s">
        <v>10</v>
      </c>
      <c r="E287">
        <v>55</v>
      </c>
      <c r="F287" s="2" t="s">
        <v>16</v>
      </c>
      <c r="G287">
        <v>2</v>
      </c>
      <c r="H287">
        <v>25</v>
      </c>
      <c r="I287">
        <v>50</v>
      </c>
    </row>
    <row r="288" spans="1:9">
      <c r="A288" s="2">
        <v>287</v>
      </c>
      <c r="B288" s="1">
        <v>44977</v>
      </c>
      <c r="C288" t="s">
        <v>300</v>
      </c>
      <c r="D288" t="s">
        <v>10</v>
      </c>
      <c r="E288">
        <v>54</v>
      </c>
      <c r="F288" s="2" t="s">
        <v>14</v>
      </c>
      <c r="G288">
        <v>4</v>
      </c>
      <c r="H288">
        <v>25</v>
      </c>
      <c r="I288">
        <v>100</v>
      </c>
    </row>
    <row r="289" spans="1:9">
      <c r="A289" s="2">
        <v>288</v>
      </c>
      <c r="B289" s="1">
        <v>44952</v>
      </c>
      <c r="C289" t="s">
        <v>301</v>
      </c>
      <c r="D289" t="s">
        <v>10</v>
      </c>
      <c r="E289">
        <v>28</v>
      </c>
      <c r="F289" s="2" t="s">
        <v>14</v>
      </c>
      <c r="G289">
        <v>4</v>
      </c>
      <c r="H289">
        <v>30</v>
      </c>
      <c r="I289">
        <v>120</v>
      </c>
    </row>
    <row r="290" spans="1:9">
      <c r="A290" s="2">
        <v>289</v>
      </c>
      <c r="B290" s="1">
        <v>45260</v>
      </c>
      <c r="C290" t="s">
        <v>302</v>
      </c>
      <c r="D290" t="s">
        <v>10</v>
      </c>
      <c r="E290">
        <v>53</v>
      </c>
      <c r="F290" s="2" t="s">
        <v>16</v>
      </c>
      <c r="G290">
        <v>2</v>
      </c>
      <c r="H290">
        <v>30</v>
      </c>
      <c r="I290">
        <v>60</v>
      </c>
    </row>
    <row r="291" spans="1:9">
      <c r="A291" s="2">
        <v>290</v>
      </c>
      <c r="B291" s="1">
        <v>45203</v>
      </c>
      <c r="C291" t="s">
        <v>303</v>
      </c>
      <c r="D291" t="s">
        <v>13</v>
      </c>
      <c r="E291">
        <v>30</v>
      </c>
      <c r="F291" s="2" t="s">
        <v>11</v>
      </c>
      <c r="G291">
        <v>2</v>
      </c>
      <c r="H291">
        <v>300</v>
      </c>
      <c r="I291">
        <v>600</v>
      </c>
    </row>
    <row r="292" spans="1:9">
      <c r="A292" s="2">
        <v>291</v>
      </c>
      <c r="B292" s="1">
        <v>44934</v>
      </c>
      <c r="C292" t="s">
        <v>304</v>
      </c>
      <c r="D292" t="s">
        <v>10</v>
      </c>
      <c r="E292">
        <v>60</v>
      </c>
      <c r="F292" s="2" t="s">
        <v>14</v>
      </c>
      <c r="G292">
        <v>2</v>
      </c>
      <c r="H292">
        <v>300</v>
      </c>
      <c r="I292">
        <v>600</v>
      </c>
    </row>
    <row r="293" spans="1:9">
      <c r="A293" s="2">
        <v>292</v>
      </c>
      <c r="B293" s="1">
        <v>44974</v>
      </c>
      <c r="C293" t="s">
        <v>305</v>
      </c>
      <c r="D293" t="s">
        <v>10</v>
      </c>
      <c r="E293">
        <v>20</v>
      </c>
      <c r="F293" s="2" t="s">
        <v>11</v>
      </c>
      <c r="G293">
        <v>4</v>
      </c>
      <c r="H293">
        <v>300</v>
      </c>
      <c r="I293">
        <v>1200</v>
      </c>
    </row>
    <row r="294" spans="1:9">
      <c r="A294" s="2">
        <v>293</v>
      </c>
      <c r="B294" s="1">
        <v>45048</v>
      </c>
      <c r="C294" t="s">
        <v>306</v>
      </c>
      <c r="D294" t="s">
        <v>10</v>
      </c>
      <c r="E294">
        <v>50</v>
      </c>
      <c r="F294" s="2" t="s">
        <v>16</v>
      </c>
      <c r="G294">
        <v>3</v>
      </c>
      <c r="H294">
        <v>30</v>
      </c>
      <c r="I294">
        <v>90</v>
      </c>
    </row>
    <row r="295" spans="1:9">
      <c r="A295" s="2">
        <v>294</v>
      </c>
      <c r="B295" s="1">
        <v>45012</v>
      </c>
      <c r="C295" t="s">
        <v>307</v>
      </c>
      <c r="D295" t="s">
        <v>13</v>
      </c>
      <c r="E295">
        <v>23</v>
      </c>
      <c r="F295" s="2" t="s">
        <v>14</v>
      </c>
      <c r="G295">
        <v>3</v>
      </c>
      <c r="H295">
        <v>30</v>
      </c>
      <c r="I295">
        <v>90</v>
      </c>
    </row>
    <row r="296" spans="1:9">
      <c r="A296" s="2">
        <v>295</v>
      </c>
      <c r="B296" s="1">
        <v>45135</v>
      </c>
      <c r="C296" t="s">
        <v>308</v>
      </c>
      <c r="D296" t="s">
        <v>13</v>
      </c>
      <c r="E296">
        <v>27</v>
      </c>
      <c r="F296" s="2" t="s">
        <v>11</v>
      </c>
      <c r="G296">
        <v>3</v>
      </c>
      <c r="H296">
        <v>300</v>
      </c>
      <c r="I296">
        <v>900</v>
      </c>
    </row>
    <row r="297" spans="1:9">
      <c r="A297" s="2">
        <v>296</v>
      </c>
      <c r="B297" s="1">
        <v>45175</v>
      </c>
      <c r="C297" t="s">
        <v>309</v>
      </c>
      <c r="D297" t="s">
        <v>13</v>
      </c>
      <c r="E297">
        <v>22</v>
      </c>
      <c r="F297" s="2" t="s">
        <v>14</v>
      </c>
      <c r="G297">
        <v>4</v>
      </c>
      <c r="H297">
        <v>300</v>
      </c>
      <c r="I297">
        <v>1200</v>
      </c>
    </row>
    <row r="298" spans="1:9">
      <c r="A298" s="2">
        <v>297</v>
      </c>
      <c r="B298" s="1">
        <v>45173</v>
      </c>
      <c r="C298" t="s">
        <v>310</v>
      </c>
      <c r="D298" t="s">
        <v>13</v>
      </c>
      <c r="E298">
        <v>40</v>
      </c>
      <c r="F298" s="2" t="s">
        <v>16</v>
      </c>
      <c r="G298">
        <v>2</v>
      </c>
      <c r="H298">
        <v>500</v>
      </c>
      <c r="I298">
        <v>1000</v>
      </c>
    </row>
    <row r="299" spans="1:9">
      <c r="A299" s="2">
        <v>298</v>
      </c>
      <c r="B299" s="1">
        <v>45036</v>
      </c>
      <c r="C299" t="s">
        <v>311</v>
      </c>
      <c r="D299" t="s">
        <v>10</v>
      </c>
      <c r="E299">
        <v>27</v>
      </c>
      <c r="F299" s="2" t="s">
        <v>11</v>
      </c>
      <c r="G299">
        <v>4</v>
      </c>
      <c r="H299">
        <v>300</v>
      </c>
      <c r="I299">
        <v>1200</v>
      </c>
    </row>
    <row r="300" spans="1:9">
      <c r="A300" s="2">
        <v>299</v>
      </c>
      <c r="B300" s="1">
        <v>45132</v>
      </c>
      <c r="C300" t="s">
        <v>312</v>
      </c>
      <c r="D300" t="s">
        <v>10</v>
      </c>
      <c r="E300">
        <v>61</v>
      </c>
      <c r="F300" s="2" t="s">
        <v>16</v>
      </c>
      <c r="G300">
        <v>2</v>
      </c>
      <c r="H300">
        <v>500</v>
      </c>
      <c r="I300">
        <v>1000</v>
      </c>
    </row>
    <row r="301" spans="1:9">
      <c r="A301" s="2">
        <v>300</v>
      </c>
      <c r="B301" s="1">
        <v>44957</v>
      </c>
      <c r="C301" t="s">
        <v>313</v>
      </c>
      <c r="D301" t="s">
        <v>13</v>
      </c>
      <c r="E301">
        <v>19</v>
      </c>
      <c r="F301" s="2" t="s">
        <v>16</v>
      </c>
      <c r="G301">
        <v>4</v>
      </c>
      <c r="H301">
        <v>50</v>
      </c>
      <c r="I301">
        <v>200</v>
      </c>
    </row>
    <row r="302" spans="1:9">
      <c r="A302" s="2">
        <v>301</v>
      </c>
      <c r="B302" s="1">
        <v>45011</v>
      </c>
      <c r="C302" t="s">
        <v>314</v>
      </c>
      <c r="D302" t="s">
        <v>10</v>
      </c>
      <c r="E302">
        <v>30</v>
      </c>
      <c r="F302" s="2" t="s">
        <v>14</v>
      </c>
      <c r="G302">
        <v>4</v>
      </c>
      <c r="H302">
        <v>30</v>
      </c>
      <c r="I302">
        <v>120</v>
      </c>
    </row>
    <row r="303" spans="1:9">
      <c r="A303" s="2">
        <v>302</v>
      </c>
      <c r="B303" s="1">
        <v>45121</v>
      </c>
      <c r="C303" t="s">
        <v>315</v>
      </c>
      <c r="D303" t="s">
        <v>10</v>
      </c>
      <c r="E303">
        <v>57</v>
      </c>
      <c r="F303" s="2" t="s">
        <v>11</v>
      </c>
      <c r="G303">
        <v>2</v>
      </c>
      <c r="H303">
        <v>300</v>
      </c>
      <c r="I303">
        <v>600</v>
      </c>
    </row>
    <row r="304" spans="1:9">
      <c r="A304" s="2">
        <v>303</v>
      </c>
      <c r="B304" s="1">
        <v>44928</v>
      </c>
      <c r="C304" t="s">
        <v>316</v>
      </c>
      <c r="D304" t="s">
        <v>10</v>
      </c>
      <c r="E304">
        <v>19</v>
      </c>
      <c r="F304" s="2" t="s">
        <v>16</v>
      </c>
      <c r="G304">
        <v>3</v>
      </c>
      <c r="H304">
        <v>30</v>
      </c>
      <c r="I304">
        <v>90</v>
      </c>
    </row>
    <row r="305" spans="1:9">
      <c r="A305" s="2">
        <v>304</v>
      </c>
      <c r="B305" s="1">
        <v>45126</v>
      </c>
      <c r="C305" t="s">
        <v>317</v>
      </c>
      <c r="D305" t="s">
        <v>13</v>
      </c>
      <c r="E305">
        <v>37</v>
      </c>
      <c r="F305" s="2" t="s">
        <v>16</v>
      </c>
      <c r="G305">
        <v>2</v>
      </c>
      <c r="H305">
        <v>30</v>
      </c>
      <c r="I305">
        <v>60</v>
      </c>
    </row>
    <row r="306" spans="1:9">
      <c r="A306" s="2">
        <v>305</v>
      </c>
      <c r="B306" s="1">
        <v>45062</v>
      </c>
      <c r="C306" t="s">
        <v>318</v>
      </c>
      <c r="D306" t="s">
        <v>13</v>
      </c>
      <c r="E306">
        <v>18</v>
      </c>
      <c r="F306" s="2" t="s">
        <v>11</v>
      </c>
      <c r="G306">
        <v>1</v>
      </c>
      <c r="H306">
        <v>30</v>
      </c>
      <c r="I306">
        <v>30</v>
      </c>
    </row>
    <row r="307" spans="1:9">
      <c r="A307" s="2">
        <v>306</v>
      </c>
      <c r="B307" s="1">
        <v>45159</v>
      </c>
      <c r="C307" t="s">
        <v>319</v>
      </c>
      <c r="D307" t="s">
        <v>10</v>
      </c>
      <c r="E307">
        <v>54</v>
      </c>
      <c r="F307" s="2" t="s">
        <v>16</v>
      </c>
      <c r="G307">
        <v>1</v>
      </c>
      <c r="H307">
        <v>50</v>
      </c>
      <c r="I307">
        <v>50</v>
      </c>
    </row>
    <row r="308" spans="1:9">
      <c r="A308" s="2">
        <v>307</v>
      </c>
      <c r="B308" s="1">
        <v>45073</v>
      </c>
      <c r="C308" t="s">
        <v>320</v>
      </c>
      <c r="D308" t="s">
        <v>13</v>
      </c>
      <c r="E308">
        <v>26</v>
      </c>
      <c r="F308" s="2" t="s">
        <v>16</v>
      </c>
      <c r="G308">
        <v>2</v>
      </c>
      <c r="H308">
        <v>25</v>
      </c>
      <c r="I308">
        <v>50</v>
      </c>
    </row>
    <row r="309" spans="1:9">
      <c r="A309" s="2">
        <v>308</v>
      </c>
      <c r="B309" s="1">
        <v>45143</v>
      </c>
      <c r="C309" t="s">
        <v>321</v>
      </c>
      <c r="D309" t="s">
        <v>13</v>
      </c>
      <c r="E309">
        <v>34</v>
      </c>
      <c r="F309" s="2" t="s">
        <v>11</v>
      </c>
      <c r="G309">
        <v>4</v>
      </c>
      <c r="H309">
        <v>300</v>
      </c>
      <c r="I309">
        <v>1200</v>
      </c>
    </row>
    <row r="310" spans="1:9">
      <c r="A310" s="2">
        <v>309</v>
      </c>
      <c r="B310" s="1">
        <v>45283</v>
      </c>
      <c r="C310" t="s">
        <v>322</v>
      </c>
      <c r="D310" t="s">
        <v>13</v>
      </c>
      <c r="E310">
        <v>26</v>
      </c>
      <c r="F310" s="2" t="s">
        <v>11</v>
      </c>
      <c r="G310">
        <v>1</v>
      </c>
      <c r="H310">
        <v>25</v>
      </c>
      <c r="I310">
        <v>25</v>
      </c>
    </row>
    <row r="311" spans="1:9">
      <c r="A311" s="2">
        <v>310</v>
      </c>
      <c r="B311" s="1">
        <v>45211</v>
      </c>
      <c r="C311" t="s">
        <v>323</v>
      </c>
      <c r="D311" t="s">
        <v>13</v>
      </c>
      <c r="E311">
        <v>28</v>
      </c>
      <c r="F311" s="2" t="s">
        <v>11</v>
      </c>
      <c r="G311">
        <v>1</v>
      </c>
      <c r="H311">
        <v>25</v>
      </c>
      <c r="I311">
        <v>25</v>
      </c>
    </row>
    <row r="312" spans="1:9">
      <c r="A312" s="2">
        <v>311</v>
      </c>
      <c r="B312" s="1">
        <v>45265</v>
      </c>
      <c r="C312" t="s">
        <v>324</v>
      </c>
      <c r="D312" t="s">
        <v>13</v>
      </c>
      <c r="E312">
        <v>32</v>
      </c>
      <c r="F312" s="2" t="s">
        <v>11</v>
      </c>
      <c r="G312">
        <v>4</v>
      </c>
      <c r="H312">
        <v>25</v>
      </c>
      <c r="I312">
        <v>100</v>
      </c>
    </row>
    <row r="313" spans="1:9">
      <c r="A313" s="2">
        <v>312</v>
      </c>
      <c r="B313" s="1">
        <v>45176</v>
      </c>
      <c r="C313" t="s">
        <v>325</v>
      </c>
      <c r="D313" t="s">
        <v>10</v>
      </c>
      <c r="E313">
        <v>41</v>
      </c>
      <c r="F313" s="2" t="s">
        <v>14</v>
      </c>
      <c r="G313">
        <v>4</v>
      </c>
      <c r="H313">
        <v>30</v>
      </c>
      <c r="I313">
        <v>120</v>
      </c>
    </row>
    <row r="314" spans="1:9">
      <c r="A314" s="2">
        <v>313</v>
      </c>
      <c r="B314" s="1">
        <v>45006</v>
      </c>
      <c r="C314" t="s">
        <v>326</v>
      </c>
      <c r="D314" t="s">
        <v>13</v>
      </c>
      <c r="E314">
        <v>55</v>
      </c>
      <c r="F314" s="2" t="s">
        <v>11</v>
      </c>
      <c r="G314">
        <v>3</v>
      </c>
      <c r="H314">
        <v>500</v>
      </c>
      <c r="I314">
        <v>1500</v>
      </c>
    </row>
    <row r="315" spans="1:9">
      <c r="A315" s="2">
        <v>314</v>
      </c>
      <c r="B315" s="1">
        <v>45024</v>
      </c>
      <c r="C315" t="s">
        <v>327</v>
      </c>
      <c r="D315" t="s">
        <v>10</v>
      </c>
      <c r="E315">
        <v>52</v>
      </c>
      <c r="F315" s="2" t="s">
        <v>14</v>
      </c>
      <c r="G315">
        <v>4</v>
      </c>
      <c r="H315">
        <v>30</v>
      </c>
      <c r="I315">
        <v>120</v>
      </c>
    </row>
    <row r="316" spans="1:9">
      <c r="A316" s="2">
        <v>315</v>
      </c>
      <c r="B316" s="1">
        <v>45078</v>
      </c>
      <c r="C316" t="s">
        <v>328</v>
      </c>
      <c r="D316" t="s">
        <v>10</v>
      </c>
      <c r="E316">
        <v>47</v>
      </c>
      <c r="F316" s="2" t="s">
        <v>14</v>
      </c>
      <c r="G316">
        <v>2</v>
      </c>
      <c r="H316">
        <v>30</v>
      </c>
      <c r="I316">
        <v>60</v>
      </c>
    </row>
    <row r="317" spans="1:9">
      <c r="A317" s="2">
        <v>316</v>
      </c>
      <c r="B317" s="1">
        <v>45038</v>
      </c>
      <c r="C317" t="s">
        <v>329</v>
      </c>
      <c r="D317" t="s">
        <v>13</v>
      </c>
      <c r="E317">
        <v>48</v>
      </c>
      <c r="F317" s="2" t="s">
        <v>14</v>
      </c>
      <c r="G317">
        <v>2</v>
      </c>
      <c r="H317">
        <v>25</v>
      </c>
      <c r="I317">
        <v>50</v>
      </c>
    </row>
    <row r="318" spans="1:9">
      <c r="A318" s="2">
        <v>317</v>
      </c>
      <c r="B318" s="1">
        <v>44956</v>
      </c>
      <c r="C318" t="s">
        <v>330</v>
      </c>
      <c r="D318" t="s">
        <v>10</v>
      </c>
      <c r="E318">
        <v>22</v>
      </c>
      <c r="F318" s="2" t="s">
        <v>16</v>
      </c>
      <c r="G318">
        <v>3</v>
      </c>
      <c r="H318">
        <v>30</v>
      </c>
      <c r="I318">
        <v>90</v>
      </c>
    </row>
    <row r="319" spans="1:9">
      <c r="A319" s="2">
        <v>318</v>
      </c>
      <c r="B319" s="1">
        <v>45223</v>
      </c>
      <c r="C319" t="s">
        <v>331</v>
      </c>
      <c r="D319" t="s">
        <v>10</v>
      </c>
      <c r="E319">
        <v>61</v>
      </c>
      <c r="F319" s="2" t="s">
        <v>14</v>
      </c>
      <c r="G319">
        <v>1</v>
      </c>
      <c r="H319">
        <v>25</v>
      </c>
      <c r="I319">
        <v>25</v>
      </c>
    </row>
    <row r="320" spans="1:9">
      <c r="A320" s="2">
        <v>319</v>
      </c>
      <c r="B320" s="1">
        <v>45204</v>
      </c>
      <c r="C320" t="s">
        <v>332</v>
      </c>
      <c r="D320" t="s">
        <v>10</v>
      </c>
      <c r="E320">
        <v>31</v>
      </c>
      <c r="F320" s="2" t="s">
        <v>14</v>
      </c>
      <c r="G320">
        <v>1</v>
      </c>
      <c r="H320">
        <v>500</v>
      </c>
      <c r="I320">
        <v>500</v>
      </c>
    </row>
    <row r="321" spans="1:9">
      <c r="A321" s="2">
        <v>320</v>
      </c>
      <c r="B321" s="1">
        <v>44958</v>
      </c>
      <c r="C321" t="s">
        <v>333</v>
      </c>
      <c r="D321" t="s">
        <v>13</v>
      </c>
      <c r="E321">
        <v>28</v>
      </c>
      <c r="F321" s="2" t="s">
        <v>16</v>
      </c>
      <c r="G321">
        <v>4</v>
      </c>
      <c r="H321">
        <v>300</v>
      </c>
      <c r="I321">
        <v>1200</v>
      </c>
    </row>
    <row r="322" spans="1:9">
      <c r="A322" s="2">
        <v>321</v>
      </c>
      <c r="B322" s="1">
        <v>45087</v>
      </c>
      <c r="C322" t="s">
        <v>334</v>
      </c>
      <c r="D322" t="s">
        <v>13</v>
      </c>
      <c r="E322">
        <v>26</v>
      </c>
      <c r="F322" s="2" t="s">
        <v>16</v>
      </c>
      <c r="G322">
        <v>2</v>
      </c>
      <c r="H322">
        <v>25</v>
      </c>
      <c r="I322">
        <v>50</v>
      </c>
    </row>
    <row r="323" spans="1:9">
      <c r="A323" s="2">
        <v>322</v>
      </c>
      <c r="B323" s="1">
        <v>44956</v>
      </c>
      <c r="C323" t="s">
        <v>335</v>
      </c>
      <c r="D323" t="s">
        <v>10</v>
      </c>
      <c r="E323">
        <v>51</v>
      </c>
      <c r="F323" s="2" t="s">
        <v>16</v>
      </c>
      <c r="G323">
        <v>1</v>
      </c>
      <c r="H323">
        <v>500</v>
      </c>
      <c r="I323">
        <v>500</v>
      </c>
    </row>
    <row r="324" spans="1:9">
      <c r="A324" s="2">
        <v>323</v>
      </c>
      <c r="B324" s="1">
        <v>44952</v>
      </c>
      <c r="C324" t="s">
        <v>336</v>
      </c>
      <c r="D324" t="s">
        <v>13</v>
      </c>
      <c r="E324">
        <v>29</v>
      </c>
      <c r="F324" s="2" t="s">
        <v>11</v>
      </c>
      <c r="G324">
        <v>3</v>
      </c>
      <c r="H324">
        <v>300</v>
      </c>
      <c r="I324">
        <v>900</v>
      </c>
    </row>
    <row r="325" spans="1:9">
      <c r="A325" s="2">
        <v>324</v>
      </c>
      <c r="B325" s="1">
        <v>45226</v>
      </c>
      <c r="C325" t="s">
        <v>337</v>
      </c>
      <c r="D325" t="s">
        <v>13</v>
      </c>
      <c r="E325">
        <v>52</v>
      </c>
      <c r="F325" s="2" t="s">
        <v>16</v>
      </c>
      <c r="G325">
        <v>3</v>
      </c>
      <c r="H325">
        <v>50</v>
      </c>
      <c r="I325">
        <v>150</v>
      </c>
    </row>
    <row r="326" spans="1:9">
      <c r="A326" s="2">
        <v>325</v>
      </c>
      <c r="B326" s="1">
        <v>45171</v>
      </c>
      <c r="C326" t="s">
        <v>338</v>
      </c>
      <c r="D326" t="s">
        <v>13</v>
      </c>
      <c r="E326">
        <v>52</v>
      </c>
      <c r="F326" s="2" t="s">
        <v>16</v>
      </c>
      <c r="G326">
        <v>2</v>
      </c>
      <c r="H326">
        <v>25</v>
      </c>
      <c r="I326">
        <v>50</v>
      </c>
    </row>
    <row r="327" spans="1:9">
      <c r="A327" s="2">
        <v>326</v>
      </c>
      <c r="B327" s="1">
        <v>45184</v>
      </c>
      <c r="C327" t="s">
        <v>339</v>
      </c>
      <c r="D327" t="s">
        <v>13</v>
      </c>
      <c r="E327">
        <v>18</v>
      </c>
      <c r="F327" s="2" t="s">
        <v>14</v>
      </c>
      <c r="G327">
        <v>3</v>
      </c>
      <c r="H327">
        <v>25</v>
      </c>
      <c r="I327">
        <v>75</v>
      </c>
    </row>
    <row r="328" spans="1:9">
      <c r="A328" s="2">
        <v>327</v>
      </c>
      <c r="B328" s="1">
        <v>45198</v>
      </c>
      <c r="C328" t="s">
        <v>340</v>
      </c>
      <c r="D328" t="s">
        <v>10</v>
      </c>
      <c r="E328">
        <v>57</v>
      </c>
      <c r="F328" s="2" t="s">
        <v>16</v>
      </c>
      <c r="G328">
        <v>3</v>
      </c>
      <c r="H328">
        <v>50</v>
      </c>
      <c r="I328">
        <v>150</v>
      </c>
    </row>
    <row r="329" spans="1:9">
      <c r="A329" s="2">
        <v>328</v>
      </c>
      <c r="B329" s="1">
        <v>45007</v>
      </c>
      <c r="C329" t="s">
        <v>341</v>
      </c>
      <c r="D329" t="s">
        <v>10</v>
      </c>
      <c r="E329">
        <v>39</v>
      </c>
      <c r="F329" s="2" t="s">
        <v>11</v>
      </c>
      <c r="G329">
        <v>2</v>
      </c>
      <c r="H329">
        <v>50</v>
      </c>
      <c r="I329">
        <v>100</v>
      </c>
    </row>
    <row r="330" spans="1:9">
      <c r="A330" s="2">
        <v>329</v>
      </c>
      <c r="B330" s="1">
        <v>44956</v>
      </c>
      <c r="C330" t="s">
        <v>342</v>
      </c>
      <c r="D330" t="s">
        <v>13</v>
      </c>
      <c r="E330">
        <v>46</v>
      </c>
      <c r="F330" s="2" t="s">
        <v>16</v>
      </c>
      <c r="G330">
        <v>4</v>
      </c>
      <c r="H330">
        <v>25</v>
      </c>
      <c r="I330">
        <v>100</v>
      </c>
    </row>
    <row r="331" spans="1:9">
      <c r="A331" s="2">
        <v>330</v>
      </c>
      <c r="B331" s="1">
        <v>45187</v>
      </c>
      <c r="C331" t="s">
        <v>343</v>
      </c>
      <c r="D331" t="s">
        <v>13</v>
      </c>
      <c r="E331">
        <v>25</v>
      </c>
      <c r="F331" s="2" t="s">
        <v>11</v>
      </c>
      <c r="G331">
        <v>4</v>
      </c>
      <c r="H331">
        <v>50</v>
      </c>
      <c r="I331">
        <v>200</v>
      </c>
    </row>
    <row r="332" spans="1:9">
      <c r="A332" s="2">
        <v>331</v>
      </c>
      <c r="B332" s="1">
        <v>44968</v>
      </c>
      <c r="C332" t="s">
        <v>344</v>
      </c>
      <c r="D332" t="s">
        <v>10</v>
      </c>
      <c r="E332">
        <v>28</v>
      </c>
      <c r="F332" s="2" t="s">
        <v>16</v>
      </c>
      <c r="G332">
        <v>3</v>
      </c>
      <c r="H332">
        <v>30</v>
      </c>
      <c r="I332">
        <v>90</v>
      </c>
    </row>
    <row r="333" spans="1:9">
      <c r="A333" s="2">
        <v>332</v>
      </c>
      <c r="B333" s="1">
        <v>45022</v>
      </c>
      <c r="C333" t="s">
        <v>345</v>
      </c>
      <c r="D333" t="s">
        <v>10</v>
      </c>
      <c r="E333">
        <v>58</v>
      </c>
      <c r="F333" s="2" t="s">
        <v>16</v>
      </c>
      <c r="G333">
        <v>4</v>
      </c>
      <c r="H333">
        <v>300</v>
      </c>
      <c r="I333">
        <v>1200</v>
      </c>
    </row>
    <row r="334" spans="1:9">
      <c r="A334" s="2">
        <v>333</v>
      </c>
      <c r="B334" s="1">
        <v>44962</v>
      </c>
      <c r="C334" t="s">
        <v>346</v>
      </c>
      <c r="D334" t="s">
        <v>13</v>
      </c>
      <c r="E334">
        <v>54</v>
      </c>
      <c r="F334" s="2" t="s">
        <v>16</v>
      </c>
      <c r="G334">
        <v>4</v>
      </c>
      <c r="H334">
        <v>300</v>
      </c>
      <c r="I334">
        <v>1200</v>
      </c>
    </row>
    <row r="335" spans="1:9">
      <c r="A335" s="2">
        <v>334</v>
      </c>
      <c r="B335" s="1">
        <v>45231</v>
      </c>
      <c r="C335" t="s">
        <v>347</v>
      </c>
      <c r="D335" t="s">
        <v>10</v>
      </c>
      <c r="E335">
        <v>31</v>
      </c>
      <c r="F335" s="2" t="s">
        <v>16</v>
      </c>
      <c r="G335">
        <v>3</v>
      </c>
      <c r="H335">
        <v>300</v>
      </c>
      <c r="I335">
        <v>900</v>
      </c>
    </row>
    <row r="336" spans="1:9">
      <c r="A336" s="2">
        <v>335</v>
      </c>
      <c r="B336" s="1">
        <v>44961</v>
      </c>
      <c r="C336" t="s">
        <v>348</v>
      </c>
      <c r="D336" t="s">
        <v>13</v>
      </c>
      <c r="E336">
        <v>47</v>
      </c>
      <c r="F336" s="2" t="s">
        <v>11</v>
      </c>
      <c r="G336">
        <v>4</v>
      </c>
      <c r="H336">
        <v>30</v>
      </c>
      <c r="I336">
        <v>120</v>
      </c>
    </row>
    <row r="337" spans="1:9">
      <c r="A337" s="2">
        <v>336</v>
      </c>
      <c r="B337" s="1">
        <v>45272</v>
      </c>
      <c r="C337" t="s">
        <v>349</v>
      </c>
      <c r="D337" t="s">
        <v>13</v>
      </c>
      <c r="E337">
        <v>52</v>
      </c>
      <c r="F337" s="2" t="s">
        <v>11</v>
      </c>
      <c r="G337">
        <v>3</v>
      </c>
      <c r="H337">
        <v>50</v>
      </c>
      <c r="I337">
        <v>150</v>
      </c>
    </row>
    <row r="338" spans="1:9">
      <c r="A338" s="2">
        <v>337</v>
      </c>
      <c r="B338" s="1">
        <v>45047</v>
      </c>
      <c r="C338" t="s">
        <v>350</v>
      </c>
      <c r="D338" t="s">
        <v>10</v>
      </c>
      <c r="E338">
        <v>38</v>
      </c>
      <c r="F338" s="2" t="s">
        <v>14</v>
      </c>
      <c r="G338">
        <v>1</v>
      </c>
      <c r="H338">
        <v>500</v>
      </c>
      <c r="I338">
        <v>500</v>
      </c>
    </row>
    <row r="339" spans="1:9">
      <c r="A339" s="2">
        <v>338</v>
      </c>
      <c r="B339" s="1">
        <v>45133</v>
      </c>
      <c r="C339" t="s">
        <v>351</v>
      </c>
      <c r="D339" t="s">
        <v>10</v>
      </c>
      <c r="E339">
        <v>54</v>
      </c>
      <c r="F339" s="2" t="s">
        <v>11</v>
      </c>
      <c r="G339">
        <v>2</v>
      </c>
      <c r="H339">
        <v>50</v>
      </c>
      <c r="I339">
        <v>100</v>
      </c>
    </row>
    <row r="340" spans="1:9">
      <c r="A340" s="2">
        <v>339</v>
      </c>
      <c r="B340" s="1">
        <v>44988</v>
      </c>
      <c r="C340" t="s">
        <v>352</v>
      </c>
      <c r="D340" t="s">
        <v>13</v>
      </c>
      <c r="E340">
        <v>22</v>
      </c>
      <c r="F340" s="2" t="s">
        <v>16</v>
      </c>
      <c r="G340">
        <v>2</v>
      </c>
      <c r="H340">
        <v>25</v>
      </c>
      <c r="I340">
        <v>50</v>
      </c>
    </row>
    <row r="341" spans="1:9">
      <c r="A341" s="2">
        <v>340</v>
      </c>
      <c r="B341" s="1">
        <v>45218</v>
      </c>
      <c r="C341" t="s">
        <v>353</v>
      </c>
      <c r="D341" t="s">
        <v>13</v>
      </c>
      <c r="E341">
        <v>36</v>
      </c>
      <c r="F341" s="2" t="s">
        <v>14</v>
      </c>
      <c r="G341">
        <v>4</v>
      </c>
      <c r="H341">
        <v>300</v>
      </c>
      <c r="I341">
        <v>1200</v>
      </c>
    </row>
    <row r="342" spans="1:9">
      <c r="A342" s="2">
        <v>341</v>
      </c>
      <c r="B342" s="1">
        <v>45053</v>
      </c>
      <c r="C342" t="s">
        <v>354</v>
      </c>
      <c r="D342" t="s">
        <v>10</v>
      </c>
      <c r="E342">
        <v>31</v>
      </c>
      <c r="F342" s="2" t="s">
        <v>14</v>
      </c>
      <c r="G342">
        <v>4</v>
      </c>
      <c r="H342">
        <v>50</v>
      </c>
      <c r="I342">
        <v>200</v>
      </c>
    </row>
    <row r="343" spans="1:9">
      <c r="A343" s="2">
        <v>342</v>
      </c>
      <c r="B343" s="1">
        <v>45223</v>
      </c>
      <c r="C343" t="s">
        <v>355</v>
      </c>
      <c r="D343" t="s">
        <v>13</v>
      </c>
      <c r="E343">
        <v>43</v>
      </c>
      <c r="F343" s="2" t="s">
        <v>14</v>
      </c>
      <c r="G343">
        <v>4</v>
      </c>
      <c r="H343">
        <v>500</v>
      </c>
      <c r="I343">
        <v>2000</v>
      </c>
    </row>
    <row r="344" spans="1:9">
      <c r="A344" s="2">
        <v>343</v>
      </c>
      <c r="B344" s="1">
        <v>45231</v>
      </c>
      <c r="C344" t="s">
        <v>356</v>
      </c>
      <c r="D344" t="s">
        <v>10</v>
      </c>
      <c r="E344">
        <v>21</v>
      </c>
      <c r="F344" s="2" t="s">
        <v>16</v>
      </c>
      <c r="G344">
        <v>2</v>
      </c>
      <c r="H344">
        <v>25</v>
      </c>
      <c r="I344">
        <v>50</v>
      </c>
    </row>
    <row r="345" spans="1:9">
      <c r="A345" s="2">
        <v>344</v>
      </c>
      <c r="B345" s="1">
        <v>44947</v>
      </c>
      <c r="C345" t="s">
        <v>357</v>
      </c>
      <c r="D345" t="s">
        <v>13</v>
      </c>
      <c r="E345">
        <v>42</v>
      </c>
      <c r="F345" s="2" t="s">
        <v>11</v>
      </c>
      <c r="G345">
        <v>1</v>
      </c>
      <c r="H345">
        <v>30</v>
      </c>
      <c r="I345">
        <v>30</v>
      </c>
    </row>
    <row r="346" spans="1:9">
      <c r="A346" s="2">
        <v>345</v>
      </c>
      <c r="B346" s="1">
        <v>45244</v>
      </c>
      <c r="C346" t="s">
        <v>358</v>
      </c>
      <c r="D346" t="s">
        <v>10</v>
      </c>
      <c r="E346">
        <v>62</v>
      </c>
      <c r="F346" s="2" t="s">
        <v>16</v>
      </c>
      <c r="G346">
        <v>1</v>
      </c>
      <c r="H346">
        <v>30</v>
      </c>
      <c r="I346">
        <v>30</v>
      </c>
    </row>
    <row r="347" spans="1:9">
      <c r="A347" s="2">
        <v>346</v>
      </c>
      <c r="B347" s="1">
        <v>44968</v>
      </c>
      <c r="C347" t="s">
        <v>359</v>
      </c>
      <c r="D347" t="s">
        <v>10</v>
      </c>
      <c r="E347">
        <v>59</v>
      </c>
      <c r="F347" s="2" t="s">
        <v>14</v>
      </c>
      <c r="G347">
        <v>2</v>
      </c>
      <c r="H347">
        <v>500</v>
      </c>
      <c r="I347">
        <v>1000</v>
      </c>
    </row>
    <row r="348" spans="1:9">
      <c r="A348" s="2">
        <v>347</v>
      </c>
      <c r="B348" s="1">
        <v>45141</v>
      </c>
      <c r="C348" t="s">
        <v>360</v>
      </c>
      <c r="D348" t="s">
        <v>10</v>
      </c>
      <c r="E348">
        <v>42</v>
      </c>
      <c r="F348" s="2" t="s">
        <v>16</v>
      </c>
      <c r="G348">
        <v>1</v>
      </c>
      <c r="H348">
        <v>25</v>
      </c>
      <c r="I348">
        <v>25</v>
      </c>
    </row>
    <row r="349" spans="1:9">
      <c r="A349" s="2">
        <v>348</v>
      </c>
      <c r="B349" s="1">
        <v>45263</v>
      </c>
      <c r="C349" t="s">
        <v>361</v>
      </c>
      <c r="D349" t="s">
        <v>13</v>
      </c>
      <c r="E349">
        <v>35</v>
      </c>
      <c r="F349" s="2" t="s">
        <v>16</v>
      </c>
      <c r="G349">
        <v>2</v>
      </c>
      <c r="H349">
        <v>300</v>
      </c>
      <c r="I349">
        <v>600</v>
      </c>
    </row>
    <row r="350" spans="1:9">
      <c r="A350" s="2">
        <v>349</v>
      </c>
      <c r="B350" s="1">
        <v>45225</v>
      </c>
      <c r="C350" t="s">
        <v>362</v>
      </c>
      <c r="D350" t="s">
        <v>13</v>
      </c>
      <c r="E350">
        <v>57</v>
      </c>
      <c r="F350" s="2" t="s">
        <v>11</v>
      </c>
      <c r="G350">
        <v>1</v>
      </c>
      <c r="H350">
        <v>50</v>
      </c>
      <c r="I350">
        <v>50</v>
      </c>
    </row>
    <row r="351" spans="1:9">
      <c r="A351" s="2">
        <v>350</v>
      </c>
      <c r="B351" s="1">
        <v>45216</v>
      </c>
      <c r="C351" t="s">
        <v>363</v>
      </c>
      <c r="D351" t="s">
        <v>10</v>
      </c>
      <c r="E351">
        <v>25</v>
      </c>
      <c r="F351" s="2" t="s">
        <v>11</v>
      </c>
      <c r="G351">
        <v>3</v>
      </c>
      <c r="H351">
        <v>25</v>
      </c>
      <c r="I351">
        <v>75</v>
      </c>
    </row>
    <row r="352" spans="1:9">
      <c r="A352" s="2">
        <v>351</v>
      </c>
      <c r="B352" s="1">
        <v>45194</v>
      </c>
      <c r="C352" t="s">
        <v>364</v>
      </c>
      <c r="D352" t="s">
        <v>13</v>
      </c>
      <c r="E352">
        <v>56</v>
      </c>
      <c r="F352" s="2" t="s">
        <v>14</v>
      </c>
      <c r="G352">
        <v>3</v>
      </c>
      <c r="H352">
        <v>30</v>
      </c>
      <c r="I352">
        <v>90</v>
      </c>
    </row>
    <row r="353" spans="1:9">
      <c r="A353" s="2">
        <v>352</v>
      </c>
      <c r="B353" s="1">
        <v>45088</v>
      </c>
      <c r="C353" t="s">
        <v>365</v>
      </c>
      <c r="D353" t="s">
        <v>10</v>
      </c>
      <c r="E353">
        <v>57</v>
      </c>
      <c r="F353" s="2" t="s">
        <v>16</v>
      </c>
      <c r="G353">
        <v>2</v>
      </c>
      <c r="H353">
        <v>500</v>
      </c>
      <c r="I353">
        <v>1000</v>
      </c>
    </row>
    <row r="354" spans="1:9">
      <c r="A354" s="2">
        <v>353</v>
      </c>
      <c r="B354" s="1">
        <v>45060</v>
      </c>
      <c r="C354" t="s">
        <v>366</v>
      </c>
      <c r="D354" t="s">
        <v>10</v>
      </c>
      <c r="E354">
        <v>31</v>
      </c>
      <c r="F354" s="2" t="s">
        <v>16</v>
      </c>
      <c r="G354">
        <v>1</v>
      </c>
      <c r="H354">
        <v>500</v>
      </c>
      <c r="I354">
        <v>500</v>
      </c>
    </row>
    <row r="355" spans="1:9">
      <c r="A355" s="2">
        <v>354</v>
      </c>
      <c r="B355" s="1">
        <v>45031</v>
      </c>
      <c r="C355" t="s">
        <v>367</v>
      </c>
      <c r="D355" t="s">
        <v>13</v>
      </c>
      <c r="E355">
        <v>49</v>
      </c>
      <c r="F355" s="2" t="s">
        <v>11</v>
      </c>
      <c r="G355">
        <v>4</v>
      </c>
      <c r="H355">
        <v>50</v>
      </c>
      <c r="I355">
        <v>200</v>
      </c>
    </row>
    <row r="356" spans="1:9">
      <c r="A356" s="2">
        <v>355</v>
      </c>
      <c r="B356" s="1">
        <v>45269</v>
      </c>
      <c r="C356" t="s">
        <v>368</v>
      </c>
      <c r="D356" t="s">
        <v>13</v>
      </c>
      <c r="E356">
        <v>55</v>
      </c>
      <c r="F356" s="2" t="s">
        <v>16</v>
      </c>
      <c r="G356">
        <v>1</v>
      </c>
      <c r="H356">
        <v>500</v>
      </c>
      <c r="I356">
        <v>500</v>
      </c>
    </row>
    <row r="357" spans="1:9">
      <c r="A357" s="2">
        <v>356</v>
      </c>
      <c r="B357" s="1">
        <v>45087</v>
      </c>
      <c r="C357" t="s">
        <v>369</v>
      </c>
      <c r="D357" t="s">
        <v>10</v>
      </c>
      <c r="E357">
        <v>50</v>
      </c>
      <c r="F357" s="2" t="s">
        <v>16</v>
      </c>
      <c r="G357">
        <v>3</v>
      </c>
      <c r="H357">
        <v>500</v>
      </c>
      <c r="I357">
        <v>1500</v>
      </c>
    </row>
    <row r="358" spans="1:9">
      <c r="A358" s="2">
        <v>357</v>
      </c>
      <c r="B358" s="1">
        <v>45049</v>
      </c>
      <c r="C358" t="s">
        <v>370</v>
      </c>
      <c r="D358" t="s">
        <v>13</v>
      </c>
      <c r="E358">
        <v>40</v>
      </c>
      <c r="F358" s="2" t="s">
        <v>16</v>
      </c>
      <c r="G358">
        <v>3</v>
      </c>
      <c r="H358">
        <v>25</v>
      </c>
      <c r="I358">
        <v>75</v>
      </c>
    </row>
    <row r="359" spans="1:9">
      <c r="A359" s="2">
        <v>358</v>
      </c>
      <c r="B359" s="1">
        <v>45062</v>
      </c>
      <c r="C359" t="s">
        <v>371</v>
      </c>
      <c r="D359" t="s">
        <v>13</v>
      </c>
      <c r="E359">
        <v>32</v>
      </c>
      <c r="F359" s="2" t="s">
        <v>11</v>
      </c>
      <c r="G359">
        <v>1</v>
      </c>
      <c r="H359">
        <v>300</v>
      </c>
      <c r="I359">
        <v>300</v>
      </c>
    </row>
    <row r="360" spans="1:9">
      <c r="A360" s="2">
        <v>359</v>
      </c>
      <c r="B360" s="1">
        <v>45129</v>
      </c>
      <c r="C360" t="s">
        <v>372</v>
      </c>
      <c r="D360" t="s">
        <v>10</v>
      </c>
      <c r="E360">
        <v>50</v>
      </c>
      <c r="F360" s="2" t="s">
        <v>14</v>
      </c>
      <c r="G360">
        <v>1</v>
      </c>
      <c r="H360">
        <v>50</v>
      </c>
      <c r="I360">
        <v>50</v>
      </c>
    </row>
    <row r="361" spans="1:9">
      <c r="A361" s="2">
        <v>360</v>
      </c>
      <c r="B361" s="1">
        <v>44994</v>
      </c>
      <c r="C361" t="s">
        <v>373</v>
      </c>
      <c r="D361" t="s">
        <v>10</v>
      </c>
      <c r="E361">
        <v>42</v>
      </c>
      <c r="F361" s="2" t="s">
        <v>14</v>
      </c>
      <c r="G361">
        <v>4</v>
      </c>
      <c r="H361">
        <v>25</v>
      </c>
      <c r="I361">
        <v>100</v>
      </c>
    </row>
    <row r="362" spans="1:9">
      <c r="A362" s="2">
        <v>361</v>
      </c>
      <c r="B362" s="1">
        <v>45270</v>
      </c>
      <c r="C362" t="s">
        <v>374</v>
      </c>
      <c r="D362" t="s">
        <v>13</v>
      </c>
      <c r="E362">
        <v>34</v>
      </c>
      <c r="F362" s="2" t="s">
        <v>16</v>
      </c>
      <c r="G362">
        <v>4</v>
      </c>
      <c r="H362">
        <v>300</v>
      </c>
      <c r="I362">
        <v>1200</v>
      </c>
    </row>
    <row r="363" spans="1:9">
      <c r="A363" s="2">
        <v>362</v>
      </c>
      <c r="B363" s="1">
        <v>45257</v>
      </c>
      <c r="C363" t="s">
        <v>375</v>
      </c>
      <c r="D363" t="s">
        <v>10</v>
      </c>
      <c r="E363">
        <v>50</v>
      </c>
      <c r="F363" s="2" t="s">
        <v>14</v>
      </c>
      <c r="G363">
        <v>1</v>
      </c>
      <c r="H363">
        <v>25</v>
      </c>
      <c r="I363">
        <v>25</v>
      </c>
    </row>
    <row r="364" spans="1:9">
      <c r="A364" s="2">
        <v>363</v>
      </c>
      <c r="B364" s="1">
        <v>45080</v>
      </c>
      <c r="C364" t="s">
        <v>376</v>
      </c>
      <c r="D364" t="s">
        <v>10</v>
      </c>
      <c r="E364">
        <v>64</v>
      </c>
      <c r="F364" s="2" t="s">
        <v>11</v>
      </c>
      <c r="G364">
        <v>1</v>
      </c>
      <c r="H364">
        <v>25</v>
      </c>
      <c r="I364">
        <v>25</v>
      </c>
    </row>
    <row r="365" spans="1:9">
      <c r="A365" s="2">
        <v>364</v>
      </c>
      <c r="B365" s="1">
        <v>45161</v>
      </c>
      <c r="C365" t="s">
        <v>377</v>
      </c>
      <c r="D365" t="s">
        <v>13</v>
      </c>
      <c r="E365">
        <v>19</v>
      </c>
      <c r="F365" s="2" t="s">
        <v>11</v>
      </c>
      <c r="G365">
        <v>1</v>
      </c>
      <c r="H365">
        <v>500</v>
      </c>
      <c r="I365">
        <v>500</v>
      </c>
    </row>
    <row r="366" spans="1:9">
      <c r="A366" s="2">
        <v>365</v>
      </c>
      <c r="B366" s="1">
        <v>45088</v>
      </c>
      <c r="C366" t="s">
        <v>378</v>
      </c>
      <c r="D366" t="s">
        <v>10</v>
      </c>
      <c r="E366">
        <v>31</v>
      </c>
      <c r="F366" s="2" t="s">
        <v>14</v>
      </c>
      <c r="G366">
        <v>1</v>
      </c>
      <c r="H366">
        <v>300</v>
      </c>
      <c r="I366">
        <v>300</v>
      </c>
    </row>
    <row r="367" spans="1:9">
      <c r="A367" s="2">
        <v>366</v>
      </c>
      <c r="B367" s="1">
        <v>44964</v>
      </c>
      <c r="C367" t="s">
        <v>379</v>
      </c>
      <c r="D367" t="s">
        <v>10</v>
      </c>
      <c r="E367">
        <v>57</v>
      </c>
      <c r="F367" s="2" t="s">
        <v>14</v>
      </c>
      <c r="G367">
        <v>2</v>
      </c>
      <c r="H367">
        <v>50</v>
      </c>
      <c r="I367">
        <v>100</v>
      </c>
    </row>
    <row r="368" spans="1:9">
      <c r="A368" s="2">
        <v>367</v>
      </c>
      <c r="B368" s="1">
        <v>44931</v>
      </c>
      <c r="C368" t="s">
        <v>380</v>
      </c>
      <c r="D368" t="s">
        <v>13</v>
      </c>
      <c r="E368">
        <v>57</v>
      </c>
      <c r="F368" s="2" t="s">
        <v>16</v>
      </c>
      <c r="G368">
        <v>1</v>
      </c>
      <c r="H368">
        <v>50</v>
      </c>
      <c r="I368">
        <v>50</v>
      </c>
    </row>
    <row r="369" spans="1:9">
      <c r="A369" s="2">
        <v>368</v>
      </c>
      <c r="B369" s="1">
        <v>45161</v>
      </c>
      <c r="C369" t="s">
        <v>381</v>
      </c>
      <c r="D369" t="s">
        <v>13</v>
      </c>
      <c r="E369">
        <v>56</v>
      </c>
      <c r="F369" s="2" t="s">
        <v>14</v>
      </c>
      <c r="G369">
        <v>4</v>
      </c>
      <c r="H369">
        <v>300</v>
      </c>
      <c r="I369">
        <v>1200</v>
      </c>
    </row>
    <row r="370" spans="1:9">
      <c r="A370" s="2">
        <v>369</v>
      </c>
      <c r="B370" s="1">
        <v>45245</v>
      </c>
      <c r="C370" t="s">
        <v>382</v>
      </c>
      <c r="D370" t="s">
        <v>10</v>
      </c>
      <c r="E370">
        <v>23</v>
      </c>
      <c r="F370" s="2" t="s">
        <v>16</v>
      </c>
      <c r="G370">
        <v>3</v>
      </c>
      <c r="H370">
        <v>500</v>
      </c>
      <c r="I370">
        <v>1500</v>
      </c>
    </row>
    <row r="371" spans="1:9">
      <c r="A371" s="2">
        <v>370</v>
      </c>
      <c r="B371" s="1">
        <v>45215</v>
      </c>
      <c r="C371" t="s">
        <v>383</v>
      </c>
      <c r="D371" t="s">
        <v>10</v>
      </c>
      <c r="E371">
        <v>23</v>
      </c>
      <c r="F371" s="2" t="s">
        <v>16</v>
      </c>
      <c r="G371">
        <v>2</v>
      </c>
      <c r="H371">
        <v>30</v>
      </c>
      <c r="I371">
        <v>60</v>
      </c>
    </row>
    <row r="372" spans="1:9">
      <c r="A372" s="2">
        <v>371</v>
      </c>
      <c r="B372" s="1">
        <v>44978</v>
      </c>
      <c r="C372" t="s">
        <v>384</v>
      </c>
      <c r="D372" t="s">
        <v>13</v>
      </c>
      <c r="E372">
        <v>20</v>
      </c>
      <c r="F372" s="2" t="s">
        <v>11</v>
      </c>
      <c r="G372">
        <v>1</v>
      </c>
      <c r="H372">
        <v>25</v>
      </c>
      <c r="I372">
        <v>25</v>
      </c>
    </row>
    <row r="373" spans="1:9">
      <c r="A373" s="2">
        <v>372</v>
      </c>
      <c r="B373" s="1">
        <v>44964</v>
      </c>
      <c r="C373" t="s">
        <v>385</v>
      </c>
      <c r="D373" t="s">
        <v>13</v>
      </c>
      <c r="E373">
        <v>24</v>
      </c>
      <c r="F373" s="2" t="s">
        <v>11</v>
      </c>
      <c r="G373">
        <v>3</v>
      </c>
      <c r="H373">
        <v>500</v>
      </c>
      <c r="I373">
        <v>1500</v>
      </c>
    </row>
    <row r="374" spans="1:9">
      <c r="A374" s="2">
        <v>373</v>
      </c>
      <c r="B374" s="1">
        <v>45202</v>
      </c>
      <c r="C374" t="s">
        <v>386</v>
      </c>
      <c r="D374" t="s">
        <v>13</v>
      </c>
      <c r="E374">
        <v>25</v>
      </c>
      <c r="F374" s="2" t="s">
        <v>11</v>
      </c>
      <c r="G374">
        <v>2</v>
      </c>
      <c r="H374">
        <v>300</v>
      </c>
      <c r="I374">
        <v>600</v>
      </c>
    </row>
    <row r="375" spans="1:9">
      <c r="A375" s="2">
        <v>374</v>
      </c>
      <c r="B375" s="1">
        <v>45036</v>
      </c>
      <c r="C375" t="s">
        <v>387</v>
      </c>
      <c r="D375" t="s">
        <v>13</v>
      </c>
      <c r="E375">
        <v>59</v>
      </c>
      <c r="F375" s="2" t="s">
        <v>11</v>
      </c>
      <c r="G375">
        <v>3</v>
      </c>
      <c r="H375">
        <v>25</v>
      </c>
      <c r="I375">
        <v>75</v>
      </c>
    </row>
    <row r="376" spans="1:9">
      <c r="A376" s="2">
        <v>375</v>
      </c>
      <c r="B376" s="1">
        <v>45186</v>
      </c>
      <c r="C376" t="s">
        <v>388</v>
      </c>
      <c r="D376" t="s">
        <v>10</v>
      </c>
      <c r="E376">
        <v>32</v>
      </c>
      <c r="F376" s="2" t="s">
        <v>14</v>
      </c>
      <c r="G376">
        <v>1</v>
      </c>
      <c r="H376">
        <v>50</v>
      </c>
      <c r="I376">
        <v>50</v>
      </c>
    </row>
    <row r="377" spans="1:9">
      <c r="A377" s="2">
        <v>376</v>
      </c>
      <c r="B377" s="1">
        <v>45062</v>
      </c>
      <c r="C377" t="s">
        <v>389</v>
      </c>
      <c r="D377" t="s">
        <v>13</v>
      </c>
      <c r="E377">
        <v>64</v>
      </c>
      <c r="F377" s="2" t="s">
        <v>11</v>
      </c>
      <c r="G377">
        <v>1</v>
      </c>
      <c r="H377">
        <v>30</v>
      </c>
      <c r="I377">
        <v>30</v>
      </c>
    </row>
    <row r="378" spans="1:9">
      <c r="A378" s="2">
        <v>377</v>
      </c>
      <c r="B378" s="1">
        <v>44994</v>
      </c>
      <c r="C378" t="s">
        <v>390</v>
      </c>
      <c r="D378" t="s">
        <v>13</v>
      </c>
      <c r="E378">
        <v>46</v>
      </c>
      <c r="F378" s="2" t="s">
        <v>14</v>
      </c>
      <c r="G378">
        <v>4</v>
      </c>
      <c r="H378">
        <v>50</v>
      </c>
      <c r="I378">
        <v>200</v>
      </c>
    </row>
    <row r="379" spans="1:9">
      <c r="A379" s="2">
        <v>378</v>
      </c>
      <c r="B379" s="1">
        <v>45105</v>
      </c>
      <c r="C379" t="s">
        <v>391</v>
      </c>
      <c r="D379" t="s">
        <v>10</v>
      </c>
      <c r="E379">
        <v>50</v>
      </c>
      <c r="F379" s="2" t="s">
        <v>11</v>
      </c>
      <c r="G379">
        <v>1</v>
      </c>
      <c r="H379">
        <v>300</v>
      </c>
      <c r="I379">
        <v>300</v>
      </c>
    </row>
    <row r="380" spans="1:9">
      <c r="A380" s="2">
        <v>379</v>
      </c>
      <c r="B380" s="1">
        <v>44962</v>
      </c>
      <c r="C380" t="s">
        <v>392</v>
      </c>
      <c r="D380" t="s">
        <v>13</v>
      </c>
      <c r="E380">
        <v>47</v>
      </c>
      <c r="F380" s="2" t="s">
        <v>14</v>
      </c>
      <c r="G380">
        <v>1</v>
      </c>
      <c r="H380">
        <v>25</v>
      </c>
      <c r="I380">
        <v>25</v>
      </c>
    </row>
    <row r="381" spans="1:9">
      <c r="A381" s="2">
        <v>380</v>
      </c>
      <c r="B381" s="1">
        <v>45052</v>
      </c>
      <c r="C381" t="s">
        <v>393</v>
      </c>
      <c r="D381" t="s">
        <v>10</v>
      </c>
      <c r="E381">
        <v>56</v>
      </c>
      <c r="F381" s="2" t="s">
        <v>16</v>
      </c>
      <c r="G381">
        <v>2</v>
      </c>
      <c r="H381">
        <v>300</v>
      </c>
      <c r="I381">
        <v>600</v>
      </c>
    </row>
    <row r="382" spans="1:9">
      <c r="A382" s="2">
        <v>381</v>
      </c>
      <c r="B382" s="1">
        <v>45116</v>
      </c>
      <c r="C382" t="s">
        <v>394</v>
      </c>
      <c r="D382" t="s">
        <v>13</v>
      </c>
      <c r="E382">
        <v>44</v>
      </c>
      <c r="F382" s="2" t="s">
        <v>14</v>
      </c>
      <c r="G382">
        <v>4</v>
      </c>
      <c r="H382">
        <v>25</v>
      </c>
      <c r="I382">
        <v>100</v>
      </c>
    </row>
    <row r="383" spans="1:9">
      <c r="A383" s="2">
        <v>382</v>
      </c>
      <c r="B383" s="1">
        <v>45072</v>
      </c>
      <c r="C383" t="s">
        <v>395</v>
      </c>
      <c r="D383" t="s">
        <v>13</v>
      </c>
      <c r="E383">
        <v>53</v>
      </c>
      <c r="F383" s="2" t="s">
        <v>14</v>
      </c>
      <c r="G383">
        <v>2</v>
      </c>
      <c r="H383">
        <v>500</v>
      </c>
      <c r="I383">
        <v>1000</v>
      </c>
    </row>
    <row r="384" spans="1:9">
      <c r="A384" s="2">
        <v>383</v>
      </c>
      <c r="B384" s="1">
        <v>45007</v>
      </c>
      <c r="C384" t="s">
        <v>396</v>
      </c>
      <c r="D384" t="s">
        <v>13</v>
      </c>
      <c r="E384">
        <v>46</v>
      </c>
      <c r="F384" s="2" t="s">
        <v>11</v>
      </c>
      <c r="G384">
        <v>3</v>
      </c>
      <c r="H384">
        <v>30</v>
      </c>
      <c r="I384">
        <v>90</v>
      </c>
    </row>
    <row r="385" spans="1:9">
      <c r="A385" s="2">
        <v>384</v>
      </c>
      <c r="B385" s="1">
        <v>45151</v>
      </c>
      <c r="C385" t="s">
        <v>397</v>
      </c>
      <c r="D385" t="s">
        <v>10</v>
      </c>
      <c r="E385">
        <v>55</v>
      </c>
      <c r="F385" s="2" t="s">
        <v>14</v>
      </c>
      <c r="G385">
        <v>1</v>
      </c>
      <c r="H385">
        <v>500</v>
      </c>
      <c r="I385">
        <v>500</v>
      </c>
    </row>
    <row r="386" spans="1:9">
      <c r="A386" s="2">
        <v>385</v>
      </c>
      <c r="B386" s="1">
        <v>45205</v>
      </c>
      <c r="C386" t="s">
        <v>398</v>
      </c>
      <c r="D386" t="s">
        <v>10</v>
      </c>
      <c r="E386">
        <v>50</v>
      </c>
      <c r="F386" s="2" t="s">
        <v>16</v>
      </c>
      <c r="G386">
        <v>3</v>
      </c>
      <c r="H386">
        <v>500</v>
      </c>
      <c r="I386">
        <v>1500</v>
      </c>
    </row>
    <row r="387" spans="1:9">
      <c r="A387" s="2">
        <v>386</v>
      </c>
      <c r="B387" s="1">
        <v>45287</v>
      </c>
      <c r="C387" t="s">
        <v>399</v>
      </c>
      <c r="D387" t="s">
        <v>13</v>
      </c>
      <c r="E387">
        <v>54</v>
      </c>
      <c r="F387" s="2" t="s">
        <v>16</v>
      </c>
      <c r="G387">
        <v>2</v>
      </c>
      <c r="H387">
        <v>300</v>
      </c>
      <c r="I387">
        <v>600</v>
      </c>
    </row>
    <row r="388" spans="1:9">
      <c r="A388" s="2">
        <v>387</v>
      </c>
      <c r="B388" s="1">
        <v>45081</v>
      </c>
      <c r="C388" t="s">
        <v>400</v>
      </c>
      <c r="D388" t="s">
        <v>10</v>
      </c>
      <c r="E388">
        <v>44</v>
      </c>
      <c r="F388" s="2" t="s">
        <v>11</v>
      </c>
      <c r="G388">
        <v>1</v>
      </c>
      <c r="H388">
        <v>30</v>
      </c>
      <c r="I388">
        <v>30</v>
      </c>
    </row>
    <row r="389" spans="1:9">
      <c r="A389" s="2">
        <v>388</v>
      </c>
      <c r="B389" s="1">
        <v>45240</v>
      </c>
      <c r="C389" t="s">
        <v>401</v>
      </c>
      <c r="D389" t="s">
        <v>10</v>
      </c>
      <c r="E389">
        <v>50</v>
      </c>
      <c r="F389" s="2" t="s">
        <v>16</v>
      </c>
      <c r="G389">
        <v>1</v>
      </c>
      <c r="H389">
        <v>25</v>
      </c>
      <c r="I389">
        <v>25</v>
      </c>
    </row>
    <row r="390" spans="1:9">
      <c r="A390" s="2">
        <v>389</v>
      </c>
      <c r="B390" s="1">
        <v>45261</v>
      </c>
      <c r="C390" t="s">
        <v>402</v>
      </c>
      <c r="D390" t="s">
        <v>10</v>
      </c>
      <c r="E390">
        <v>21</v>
      </c>
      <c r="F390" s="2" t="s">
        <v>14</v>
      </c>
      <c r="G390">
        <v>2</v>
      </c>
      <c r="H390">
        <v>25</v>
      </c>
      <c r="I390">
        <v>50</v>
      </c>
    </row>
    <row r="391" spans="1:9">
      <c r="A391" s="2">
        <v>390</v>
      </c>
      <c r="B391" s="1">
        <v>45197</v>
      </c>
      <c r="C391" t="s">
        <v>403</v>
      </c>
      <c r="D391" t="s">
        <v>10</v>
      </c>
      <c r="E391">
        <v>39</v>
      </c>
      <c r="F391" s="2" t="s">
        <v>16</v>
      </c>
      <c r="G391">
        <v>2</v>
      </c>
      <c r="H391">
        <v>50</v>
      </c>
      <c r="I391">
        <v>100</v>
      </c>
    </row>
    <row r="392" spans="1:9">
      <c r="A392" s="2">
        <v>391</v>
      </c>
      <c r="B392" s="1">
        <v>44931</v>
      </c>
      <c r="C392" t="s">
        <v>404</v>
      </c>
      <c r="D392" t="s">
        <v>10</v>
      </c>
      <c r="E392">
        <v>19</v>
      </c>
      <c r="F392" s="2" t="s">
        <v>11</v>
      </c>
      <c r="G392">
        <v>2</v>
      </c>
      <c r="H392">
        <v>25</v>
      </c>
      <c r="I392">
        <v>50</v>
      </c>
    </row>
    <row r="393" spans="1:9">
      <c r="A393" s="2">
        <v>392</v>
      </c>
      <c r="B393" s="1">
        <v>45268</v>
      </c>
      <c r="C393" t="s">
        <v>405</v>
      </c>
      <c r="D393" t="s">
        <v>10</v>
      </c>
      <c r="E393">
        <v>27</v>
      </c>
      <c r="F393" s="2" t="s">
        <v>14</v>
      </c>
      <c r="G393">
        <v>2</v>
      </c>
      <c r="H393">
        <v>300</v>
      </c>
      <c r="I393">
        <v>600</v>
      </c>
    </row>
    <row r="394" spans="1:9">
      <c r="A394" s="2">
        <v>393</v>
      </c>
      <c r="B394" s="1">
        <v>45210</v>
      </c>
      <c r="C394" t="s">
        <v>406</v>
      </c>
      <c r="D394" t="s">
        <v>13</v>
      </c>
      <c r="E394">
        <v>22</v>
      </c>
      <c r="F394" s="2" t="s">
        <v>11</v>
      </c>
      <c r="G394">
        <v>2</v>
      </c>
      <c r="H394">
        <v>500</v>
      </c>
      <c r="I394">
        <v>1000</v>
      </c>
    </row>
    <row r="395" spans="1:9">
      <c r="A395" s="2">
        <v>394</v>
      </c>
      <c r="B395" s="1">
        <v>45080</v>
      </c>
      <c r="C395" t="s">
        <v>407</v>
      </c>
      <c r="D395" t="s">
        <v>13</v>
      </c>
      <c r="E395">
        <v>27</v>
      </c>
      <c r="F395" s="2" t="s">
        <v>14</v>
      </c>
      <c r="G395">
        <v>1</v>
      </c>
      <c r="H395">
        <v>500</v>
      </c>
      <c r="I395">
        <v>500</v>
      </c>
    </row>
    <row r="396" spans="1:9">
      <c r="A396" s="2">
        <v>395</v>
      </c>
      <c r="B396" s="1">
        <v>45266</v>
      </c>
      <c r="C396" t="s">
        <v>408</v>
      </c>
      <c r="D396" t="s">
        <v>10</v>
      </c>
      <c r="E396">
        <v>50</v>
      </c>
      <c r="F396" s="2" t="s">
        <v>16</v>
      </c>
      <c r="G396">
        <v>2</v>
      </c>
      <c r="H396">
        <v>500</v>
      </c>
      <c r="I396">
        <v>1000</v>
      </c>
    </row>
    <row r="397" spans="1:9">
      <c r="A397" s="2">
        <v>396</v>
      </c>
      <c r="B397" s="1">
        <v>44980</v>
      </c>
      <c r="C397" t="s">
        <v>409</v>
      </c>
      <c r="D397" t="s">
        <v>13</v>
      </c>
      <c r="E397">
        <v>55</v>
      </c>
      <c r="F397" s="2" t="s">
        <v>11</v>
      </c>
      <c r="G397">
        <v>1</v>
      </c>
      <c r="H397">
        <v>30</v>
      </c>
      <c r="I397">
        <v>30</v>
      </c>
    </row>
    <row r="398" spans="1:9">
      <c r="A398" s="2">
        <v>397</v>
      </c>
      <c r="B398" s="1">
        <v>44995</v>
      </c>
      <c r="C398" t="s">
        <v>410</v>
      </c>
      <c r="D398" t="s">
        <v>13</v>
      </c>
      <c r="E398">
        <v>30</v>
      </c>
      <c r="F398" s="2" t="s">
        <v>11</v>
      </c>
      <c r="G398">
        <v>1</v>
      </c>
      <c r="H398">
        <v>25</v>
      </c>
      <c r="I398">
        <v>25</v>
      </c>
    </row>
    <row r="399" spans="1:9">
      <c r="A399" s="2">
        <v>398</v>
      </c>
      <c r="B399" s="1">
        <v>45062</v>
      </c>
      <c r="C399" t="s">
        <v>411</v>
      </c>
      <c r="D399" t="s">
        <v>13</v>
      </c>
      <c r="E399">
        <v>48</v>
      </c>
      <c r="F399" s="2" t="s">
        <v>14</v>
      </c>
      <c r="G399">
        <v>2</v>
      </c>
      <c r="H399">
        <v>300</v>
      </c>
      <c r="I399">
        <v>600</v>
      </c>
    </row>
    <row r="400" spans="1:9">
      <c r="A400" s="2">
        <v>399</v>
      </c>
      <c r="B400" s="1">
        <v>44986</v>
      </c>
      <c r="C400" t="s">
        <v>412</v>
      </c>
      <c r="D400" t="s">
        <v>13</v>
      </c>
      <c r="E400">
        <v>64</v>
      </c>
      <c r="F400" s="2" t="s">
        <v>11</v>
      </c>
      <c r="G400">
        <v>2</v>
      </c>
      <c r="H400">
        <v>30</v>
      </c>
      <c r="I400">
        <v>60</v>
      </c>
    </row>
    <row r="401" spans="1:9">
      <c r="A401" s="2">
        <v>400</v>
      </c>
      <c r="B401" s="1">
        <v>44981</v>
      </c>
      <c r="C401" t="s">
        <v>413</v>
      </c>
      <c r="D401" t="s">
        <v>10</v>
      </c>
      <c r="E401">
        <v>53</v>
      </c>
      <c r="F401" s="2" t="s">
        <v>14</v>
      </c>
      <c r="G401">
        <v>4</v>
      </c>
      <c r="H401">
        <v>50</v>
      </c>
      <c r="I401">
        <v>200</v>
      </c>
    </row>
    <row r="402" spans="1:9">
      <c r="A402" s="2">
        <v>401</v>
      </c>
      <c r="B402" s="1">
        <v>45210</v>
      </c>
      <c r="C402" t="s">
        <v>414</v>
      </c>
      <c r="D402" t="s">
        <v>13</v>
      </c>
      <c r="E402">
        <v>62</v>
      </c>
      <c r="F402" s="2" t="s">
        <v>14</v>
      </c>
      <c r="G402">
        <v>1</v>
      </c>
      <c r="H402">
        <v>300</v>
      </c>
      <c r="I402">
        <v>300</v>
      </c>
    </row>
    <row r="403" spans="1:9">
      <c r="A403" s="2">
        <v>402</v>
      </c>
      <c r="B403" s="1">
        <v>45006</v>
      </c>
      <c r="C403" t="s">
        <v>415</v>
      </c>
      <c r="D403" t="s">
        <v>13</v>
      </c>
      <c r="E403">
        <v>41</v>
      </c>
      <c r="F403" s="2" t="s">
        <v>14</v>
      </c>
      <c r="G403">
        <v>2</v>
      </c>
      <c r="H403">
        <v>300</v>
      </c>
      <c r="I403">
        <v>600</v>
      </c>
    </row>
    <row r="404" spans="1:9">
      <c r="A404" s="2">
        <v>403</v>
      </c>
      <c r="B404" s="1">
        <v>45066</v>
      </c>
      <c r="C404" t="s">
        <v>416</v>
      </c>
      <c r="D404" t="s">
        <v>10</v>
      </c>
      <c r="E404">
        <v>32</v>
      </c>
      <c r="F404" s="2" t="s">
        <v>14</v>
      </c>
      <c r="G404">
        <v>2</v>
      </c>
      <c r="H404">
        <v>300</v>
      </c>
      <c r="I404">
        <v>600</v>
      </c>
    </row>
    <row r="405" spans="1:9">
      <c r="A405" s="2">
        <v>404</v>
      </c>
      <c r="B405" s="1">
        <v>45071</v>
      </c>
      <c r="C405" t="s">
        <v>417</v>
      </c>
      <c r="D405" t="s">
        <v>10</v>
      </c>
      <c r="E405">
        <v>46</v>
      </c>
      <c r="F405" s="2" t="s">
        <v>16</v>
      </c>
      <c r="G405">
        <v>2</v>
      </c>
      <c r="H405">
        <v>500</v>
      </c>
      <c r="I405">
        <v>1000</v>
      </c>
    </row>
    <row r="406" spans="1:9">
      <c r="A406" s="2">
        <v>405</v>
      </c>
      <c r="B406" s="1">
        <v>45236</v>
      </c>
      <c r="C406" t="s">
        <v>418</v>
      </c>
      <c r="D406" t="s">
        <v>13</v>
      </c>
      <c r="E406">
        <v>25</v>
      </c>
      <c r="F406" s="2" t="s">
        <v>14</v>
      </c>
      <c r="G406">
        <v>4</v>
      </c>
      <c r="H406">
        <v>300</v>
      </c>
      <c r="I406">
        <v>1200</v>
      </c>
    </row>
    <row r="407" spans="1:9">
      <c r="A407" s="2">
        <v>406</v>
      </c>
      <c r="B407" s="1">
        <v>45034</v>
      </c>
      <c r="C407" t="s">
        <v>419</v>
      </c>
      <c r="D407" t="s">
        <v>13</v>
      </c>
      <c r="E407">
        <v>22</v>
      </c>
      <c r="F407" s="2" t="s">
        <v>11</v>
      </c>
      <c r="G407">
        <v>4</v>
      </c>
      <c r="H407">
        <v>25</v>
      </c>
      <c r="I407">
        <v>100</v>
      </c>
    </row>
    <row r="408" spans="1:9">
      <c r="A408" s="2">
        <v>407</v>
      </c>
      <c r="B408" s="1">
        <v>45102</v>
      </c>
      <c r="C408" t="s">
        <v>420</v>
      </c>
      <c r="D408" t="s">
        <v>13</v>
      </c>
      <c r="E408">
        <v>46</v>
      </c>
      <c r="F408" s="2" t="s">
        <v>16</v>
      </c>
      <c r="G408">
        <v>3</v>
      </c>
      <c r="H408">
        <v>300</v>
      </c>
      <c r="I408">
        <v>900</v>
      </c>
    </row>
    <row r="409" spans="1:9">
      <c r="A409" s="2">
        <v>408</v>
      </c>
      <c r="B409" s="1">
        <v>45031</v>
      </c>
      <c r="C409" t="s">
        <v>421</v>
      </c>
      <c r="D409" t="s">
        <v>13</v>
      </c>
      <c r="E409">
        <v>64</v>
      </c>
      <c r="F409" s="2" t="s">
        <v>11</v>
      </c>
      <c r="G409">
        <v>1</v>
      </c>
      <c r="H409">
        <v>500</v>
      </c>
      <c r="I409">
        <v>500</v>
      </c>
    </row>
    <row r="410" spans="1:9">
      <c r="A410" s="2">
        <v>409</v>
      </c>
      <c r="B410" s="1">
        <v>45278</v>
      </c>
      <c r="C410" t="s">
        <v>422</v>
      </c>
      <c r="D410" t="s">
        <v>13</v>
      </c>
      <c r="E410">
        <v>21</v>
      </c>
      <c r="F410" s="2" t="s">
        <v>16</v>
      </c>
      <c r="G410">
        <v>3</v>
      </c>
      <c r="H410">
        <v>300</v>
      </c>
      <c r="I410">
        <v>900</v>
      </c>
    </row>
    <row r="411" spans="1:9">
      <c r="A411" s="2">
        <v>410</v>
      </c>
      <c r="B411" s="1">
        <v>45251</v>
      </c>
      <c r="C411" t="s">
        <v>423</v>
      </c>
      <c r="D411" t="s">
        <v>13</v>
      </c>
      <c r="E411">
        <v>29</v>
      </c>
      <c r="F411" s="2" t="s">
        <v>14</v>
      </c>
      <c r="G411">
        <v>2</v>
      </c>
      <c r="H411">
        <v>50</v>
      </c>
      <c r="I411">
        <v>100</v>
      </c>
    </row>
    <row r="412" spans="1:9">
      <c r="A412" s="2">
        <v>411</v>
      </c>
      <c r="B412" s="1">
        <v>45062</v>
      </c>
      <c r="C412" t="s">
        <v>424</v>
      </c>
      <c r="D412" t="s">
        <v>10</v>
      </c>
      <c r="E412">
        <v>62</v>
      </c>
      <c r="F412" s="2" t="s">
        <v>16</v>
      </c>
      <c r="G412">
        <v>4</v>
      </c>
      <c r="H412">
        <v>50</v>
      </c>
      <c r="I412">
        <v>200</v>
      </c>
    </row>
    <row r="413" spans="1:9">
      <c r="A413" s="2">
        <v>412</v>
      </c>
      <c r="B413" s="1">
        <v>45185</v>
      </c>
      <c r="C413" t="s">
        <v>425</v>
      </c>
      <c r="D413" t="s">
        <v>13</v>
      </c>
      <c r="E413">
        <v>19</v>
      </c>
      <c r="F413" s="2" t="s">
        <v>16</v>
      </c>
      <c r="G413">
        <v>4</v>
      </c>
      <c r="H413">
        <v>500</v>
      </c>
      <c r="I413">
        <v>2000</v>
      </c>
    </row>
    <row r="414" spans="1:9">
      <c r="A414" s="2">
        <v>413</v>
      </c>
      <c r="B414" s="1">
        <v>45177</v>
      </c>
      <c r="C414" t="s">
        <v>426</v>
      </c>
      <c r="D414" t="s">
        <v>13</v>
      </c>
      <c r="E414">
        <v>44</v>
      </c>
      <c r="F414" s="2" t="s">
        <v>11</v>
      </c>
      <c r="G414">
        <v>3</v>
      </c>
      <c r="H414">
        <v>25</v>
      </c>
      <c r="I414">
        <v>75</v>
      </c>
    </row>
    <row r="415" spans="1:9">
      <c r="A415" s="2">
        <v>414</v>
      </c>
      <c r="B415" s="1">
        <v>45055</v>
      </c>
      <c r="C415" t="s">
        <v>427</v>
      </c>
      <c r="D415" t="s">
        <v>10</v>
      </c>
      <c r="E415">
        <v>48</v>
      </c>
      <c r="F415" s="2" t="s">
        <v>11</v>
      </c>
      <c r="G415">
        <v>4</v>
      </c>
      <c r="H415">
        <v>25</v>
      </c>
      <c r="I415">
        <v>100</v>
      </c>
    </row>
    <row r="416" spans="1:9">
      <c r="A416" s="2">
        <v>415</v>
      </c>
      <c r="B416" s="1">
        <v>44953</v>
      </c>
      <c r="C416" t="s">
        <v>428</v>
      </c>
      <c r="D416" t="s">
        <v>10</v>
      </c>
      <c r="E416">
        <v>53</v>
      </c>
      <c r="F416" s="2" t="s">
        <v>14</v>
      </c>
      <c r="G416">
        <v>2</v>
      </c>
      <c r="H416">
        <v>30</v>
      </c>
      <c r="I416">
        <v>60</v>
      </c>
    </row>
    <row r="417" spans="1:9">
      <c r="A417" s="2">
        <v>416</v>
      </c>
      <c r="B417" s="1">
        <v>44974</v>
      </c>
      <c r="C417" t="s">
        <v>429</v>
      </c>
      <c r="D417" t="s">
        <v>10</v>
      </c>
      <c r="E417">
        <v>53</v>
      </c>
      <c r="F417" s="2" t="s">
        <v>16</v>
      </c>
      <c r="G417">
        <v>4</v>
      </c>
      <c r="H417">
        <v>500</v>
      </c>
      <c r="I417">
        <v>2000</v>
      </c>
    </row>
    <row r="418" spans="1:9">
      <c r="A418" s="2">
        <v>417</v>
      </c>
      <c r="B418" s="1">
        <v>45251</v>
      </c>
      <c r="C418" t="s">
        <v>430</v>
      </c>
      <c r="D418" t="s">
        <v>10</v>
      </c>
      <c r="E418">
        <v>43</v>
      </c>
      <c r="F418" s="2" t="s">
        <v>16</v>
      </c>
      <c r="G418">
        <v>3</v>
      </c>
      <c r="H418">
        <v>300</v>
      </c>
      <c r="I418">
        <v>900</v>
      </c>
    </row>
    <row r="419" spans="1:9">
      <c r="A419" s="2">
        <v>418</v>
      </c>
      <c r="B419" s="1">
        <v>45143</v>
      </c>
      <c r="C419" t="s">
        <v>431</v>
      </c>
      <c r="D419" t="s">
        <v>13</v>
      </c>
      <c r="E419">
        <v>60</v>
      </c>
      <c r="F419" s="2" t="s">
        <v>16</v>
      </c>
      <c r="G419">
        <v>2</v>
      </c>
      <c r="H419">
        <v>500</v>
      </c>
      <c r="I419">
        <v>1000</v>
      </c>
    </row>
    <row r="420" spans="1:9">
      <c r="A420" s="2">
        <v>419</v>
      </c>
      <c r="B420" s="1">
        <v>45068</v>
      </c>
      <c r="C420" t="s">
        <v>432</v>
      </c>
      <c r="D420" t="s">
        <v>13</v>
      </c>
      <c r="E420">
        <v>44</v>
      </c>
      <c r="F420" s="2" t="s">
        <v>14</v>
      </c>
      <c r="G420">
        <v>3</v>
      </c>
      <c r="H420">
        <v>30</v>
      </c>
      <c r="I420">
        <v>90</v>
      </c>
    </row>
    <row r="421" spans="1:9">
      <c r="A421" s="2">
        <v>420</v>
      </c>
      <c r="B421" s="1">
        <v>44949</v>
      </c>
      <c r="C421" t="s">
        <v>433</v>
      </c>
      <c r="D421" t="s">
        <v>13</v>
      </c>
      <c r="E421">
        <v>22</v>
      </c>
      <c r="F421" s="2" t="s">
        <v>14</v>
      </c>
      <c r="G421">
        <v>4</v>
      </c>
      <c r="H421">
        <v>500</v>
      </c>
      <c r="I421">
        <v>2000</v>
      </c>
    </row>
    <row r="422" spans="1:9">
      <c r="A422" s="2">
        <v>421</v>
      </c>
      <c r="B422" s="1">
        <v>44928</v>
      </c>
      <c r="C422" t="s">
        <v>434</v>
      </c>
      <c r="D422" t="s">
        <v>13</v>
      </c>
      <c r="E422">
        <v>37</v>
      </c>
      <c r="F422" s="2" t="s">
        <v>14</v>
      </c>
      <c r="G422">
        <v>3</v>
      </c>
      <c r="H422">
        <v>500</v>
      </c>
      <c r="I422">
        <v>1500</v>
      </c>
    </row>
    <row r="423" spans="1:9">
      <c r="A423" s="2">
        <v>422</v>
      </c>
      <c r="B423" s="1">
        <v>45097</v>
      </c>
      <c r="C423" t="s">
        <v>435</v>
      </c>
      <c r="D423" t="s">
        <v>13</v>
      </c>
      <c r="E423">
        <v>28</v>
      </c>
      <c r="F423" s="2" t="s">
        <v>14</v>
      </c>
      <c r="G423">
        <v>3</v>
      </c>
      <c r="H423">
        <v>30</v>
      </c>
      <c r="I423">
        <v>90</v>
      </c>
    </row>
    <row r="424" spans="1:9">
      <c r="A424" s="2">
        <v>423</v>
      </c>
      <c r="B424" s="1">
        <v>44993</v>
      </c>
      <c r="C424" t="s">
        <v>436</v>
      </c>
      <c r="D424" t="s">
        <v>13</v>
      </c>
      <c r="E424">
        <v>27</v>
      </c>
      <c r="F424" s="2" t="s">
        <v>14</v>
      </c>
      <c r="G424">
        <v>1</v>
      </c>
      <c r="H424">
        <v>25</v>
      </c>
      <c r="I424">
        <v>25</v>
      </c>
    </row>
    <row r="425" spans="1:9">
      <c r="A425" s="2">
        <v>424</v>
      </c>
      <c r="B425" s="1">
        <v>45253</v>
      </c>
      <c r="C425" t="s">
        <v>437</v>
      </c>
      <c r="D425" t="s">
        <v>10</v>
      </c>
      <c r="E425">
        <v>57</v>
      </c>
      <c r="F425" s="2" t="s">
        <v>11</v>
      </c>
      <c r="G425">
        <v>4</v>
      </c>
      <c r="H425">
        <v>300</v>
      </c>
      <c r="I425">
        <v>1200</v>
      </c>
    </row>
    <row r="426" spans="1:9">
      <c r="A426" s="2">
        <v>425</v>
      </c>
      <c r="B426" s="1">
        <v>45061</v>
      </c>
      <c r="C426" t="s">
        <v>438</v>
      </c>
      <c r="D426" t="s">
        <v>13</v>
      </c>
      <c r="E426">
        <v>55</v>
      </c>
      <c r="F426" s="2" t="s">
        <v>16</v>
      </c>
      <c r="G426">
        <v>4</v>
      </c>
      <c r="H426">
        <v>30</v>
      </c>
      <c r="I426">
        <v>120</v>
      </c>
    </row>
    <row r="427" spans="1:9">
      <c r="A427" s="2">
        <v>426</v>
      </c>
      <c r="B427" s="1">
        <v>45009</v>
      </c>
      <c r="C427" t="s">
        <v>439</v>
      </c>
      <c r="D427" t="s">
        <v>10</v>
      </c>
      <c r="E427">
        <v>23</v>
      </c>
      <c r="F427" s="2" t="s">
        <v>16</v>
      </c>
      <c r="G427">
        <v>3</v>
      </c>
      <c r="H427">
        <v>50</v>
      </c>
      <c r="I427">
        <v>150</v>
      </c>
    </row>
    <row r="428" spans="1:9">
      <c r="A428" s="2">
        <v>427</v>
      </c>
      <c r="B428" s="1">
        <v>45153</v>
      </c>
      <c r="C428" t="s">
        <v>440</v>
      </c>
      <c r="D428" t="s">
        <v>10</v>
      </c>
      <c r="E428">
        <v>25</v>
      </c>
      <c r="F428" s="2" t="s">
        <v>16</v>
      </c>
      <c r="G428">
        <v>1</v>
      </c>
      <c r="H428">
        <v>25</v>
      </c>
      <c r="I428">
        <v>25</v>
      </c>
    </row>
    <row r="429" spans="1:9">
      <c r="A429" s="2">
        <v>428</v>
      </c>
      <c r="B429" s="1">
        <v>45209</v>
      </c>
      <c r="C429" t="s">
        <v>441</v>
      </c>
      <c r="D429" t="s">
        <v>13</v>
      </c>
      <c r="E429">
        <v>40</v>
      </c>
      <c r="F429" s="2" t="s">
        <v>16</v>
      </c>
      <c r="G429">
        <v>4</v>
      </c>
      <c r="H429">
        <v>50</v>
      </c>
      <c r="I429">
        <v>200</v>
      </c>
    </row>
    <row r="430" spans="1:9">
      <c r="A430" s="2">
        <v>429</v>
      </c>
      <c r="B430" s="1">
        <v>45288</v>
      </c>
      <c r="C430" t="s">
        <v>442</v>
      </c>
      <c r="D430" t="s">
        <v>10</v>
      </c>
      <c r="E430">
        <v>64</v>
      </c>
      <c r="F430" s="2" t="s">
        <v>16</v>
      </c>
      <c r="G430">
        <v>2</v>
      </c>
      <c r="H430">
        <v>25</v>
      </c>
      <c r="I430">
        <v>50</v>
      </c>
    </row>
    <row r="431" spans="1:9">
      <c r="A431" s="2">
        <v>430</v>
      </c>
      <c r="B431" s="1">
        <v>45145</v>
      </c>
      <c r="C431" t="s">
        <v>443</v>
      </c>
      <c r="D431" t="s">
        <v>13</v>
      </c>
      <c r="E431">
        <v>43</v>
      </c>
      <c r="F431" s="2" t="s">
        <v>16</v>
      </c>
      <c r="G431">
        <v>3</v>
      </c>
      <c r="H431">
        <v>300</v>
      </c>
      <c r="I431">
        <v>900</v>
      </c>
    </row>
    <row r="432" spans="1:9">
      <c r="A432" s="2">
        <v>431</v>
      </c>
      <c r="B432" s="1">
        <v>45214</v>
      </c>
      <c r="C432" t="s">
        <v>444</v>
      </c>
      <c r="D432" t="s">
        <v>10</v>
      </c>
      <c r="E432">
        <v>63</v>
      </c>
      <c r="F432" s="2" t="s">
        <v>16</v>
      </c>
      <c r="G432">
        <v>4</v>
      </c>
      <c r="H432">
        <v>300</v>
      </c>
      <c r="I432">
        <v>1200</v>
      </c>
    </row>
    <row r="433" spans="1:9">
      <c r="A433" s="2">
        <v>432</v>
      </c>
      <c r="B433" s="1">
        <v>44931</v>
      </c>
      <c r="C433" t="s">
        <v>445</v>
      </c>
      <c r="D433" t="s">
        <v>13</v>
      </c>
      <c r="E433">
        <v>60</v>
      </c>
      <c r="F433" s="2" t="s">
        <v>16</v>
      </c>
      <c r="G433">
        <v>2</v>
      </c>
      <c r="H433">
        <v>500</v>
      </c>
      <c r="I433">
        <v>1000</v>
      </c>
    </row>
    <row r="434" spans="1:9">
      <c r="A434" s="2">
        <v>433</v>
      </c>
      <c r="B434" s="1">
        <v>44984</v>
      </c>
      <c r="C434" t="s">
        <v>446</v>
      </c>
      <c r="D434" t="s">
        <v>10</v>
      </c>
      <c r="E434">
        <v>29</v>
      </c>
      <c r="F434" s="2" t="s">
        <v>11</v>
      </c>
      <c r="G434">
        <v>4</v>
      </c>
      <c r="H434">
        <v>50</v>
      </c>
      <c r="I434">
        <v>200</v>
      </c>
    </row>
    <row r="435" spans="1:9">
      <c r="A435" s="2">
        <v>434</v>
      </c>
      <c r="B435" s="1">
        <v>44965</v>
      </c>
      <c r="C435" t="s">
        <v>447</v>
      </c>
      <c r="D435" t="s">
        <v>13</v>
      </c>
      <c r="E435">
        <v>43</v>
      </c>
      <c r="F435" s="2" t="s">
        <v>16</v>
      </c>
      <c r="G435">
        <v>2</v>
      </c>
      <c r="H435">
        <v>25</v>
      </c>
      <c r="I435">
        <v>50</v>
      </c>
    </row>
    <row r="436" spans="1:9">
      <c r="A436" s="2">
        <v>435</v>
      </c>
      <c r="B436" s="1">
        <v>45280</v>
      </c>
      <c r="C436" t="s">
        <v>448</v>
      </c>
      <c r="D436" t="s">
        <v>13</v>
      </c>
      <c r="E436">
        <v>30</v>
      </c>
      <c r="F436" s="2" t="s">
        <v>11</v>
      </c>
      <c r="G436">
        <v>3</v>
      </c>
      <c r="H436">
        <v>300</v>
      </c>
      <c r="I436">
        <v>900</v>
      </c>
    </row>
    <row r="437" spans="1:9">
      <c r="A437" s="2">
        <v>436</v>
      </c>
      <c r="B437" s="1">
        <v>45003</v>
      </c>
      <c r="C437" t="s">
        <v>449</v>
      </c>
      <c r="D437" t="s">
        <v>13</v>
      </c>
      <c r="E437">
        <v>57</v>
      </c>
      <c r="F437" s="2" t="s">
        <v>14</v>
      </c>
      <c r="G437">
        <v>4</v>
      </c>
      <c r="H437">
        <v>30</v>
      </c>
      <c r="I437">
        <v>120</v>
      </c>
    </row>
    <row r="438" spans="1:9">
      <c r="A438" s="2">
        <v>437</v>
      </c>
      <c r="B438" s="1">
        <v>45206</v>
      </c>
      <c r="C438" t="s">
        <v>450</v>
      </c>
      <c r="D438" t="s">
        <v>13</v>
      </c>
      <c r="E438">
        <v>35</v>
      </c>
      <c r="F438" s="2" t="s">
        <v>16</v>
      </c>
      <c r="G438">
        <v>4</v>
      </c>
      <c r="H438">
        <v>300</v>
      </c>
      <c r="I438">
        <v>1200</v>
      </c>
    </row>
    <row r="439" spans="1:9">
      <c r="A439" s="2">
        <v>438</v>
      </c>
      <c r="B439" s="1">
        <v>44945</v>
      </c>
      <c r="C439" t="s">
        <v>451</v>
      </c>
      <c r="D439" t="s">
        <v>13</v>
      </c>
      <c r="E439">
        <v>42</v>
      </c>
      <c r="F439" s="2" t="s">
        <v>14</v>
      </c>
      <c r="G439">
        <v>1</v>
      </c>
      <c r="H439">
        <v>30</v>
      </c>
      <c r="I439">
        <v>30</v>
      </c>
    </row>
    <row r="440" spans="1:9">
      <c r="A440" s="2">
        <v>439</v>
      </c>
      <c r="B440" s="1">
        <v>45116</v>
      </c>
      <c r="C440" t="s">
        <v>452</v>
      </c>
      <c r="D440" t="s">
        <v>10</v>
      </c>
      <c r="E440">
        <v>50</v>
      </c>
      <c r="F440" s="2" t="s">
        <v>14</v>
      </c>
      <c r="G440">
        <v>3</v>
      </c>
      <c r="H440">
        <v>25</v>
      </c>
      <c r="I440">
        <v>75</v>
      </c>
    </row>
    <row r="441" spans="1:9">
      <c r="A441" s="2">
        <v>440</v>
      </c>
      <c r="B441" s="1">
        <v>45225</v>
      </c>
      <c r="C441" t="s">
        <v>453</v>
      </c>
      <c r="D441" t="s">
        <v>10</v>
      </c>
      <c r="E441">
        <v>64</v>
      </c>
      <c r="F441" s="2" t="s">
        <v>14</v>
      </c>
      <c r="G441">
        <v>2</v>
      </c>
      <c r="H441">
        <v>300</v>
      </c>
      <c r="I441">
        <v>600</v>
      </c>
    </row>
    <row r="442" spans="1:9">
      <c r="A442" s="2">
        <v>441</v>
      </c>
      <c r="B442" s="1">
        <v>45209</v>
      </c>
      <c r="C442" t="s">
        <v>454</v>
      </c>
      <c r="D442" t="s">
        <v>10</v>
      </c>
      <c r="E442">
        <v>57</v>
      </c>
      <c r="F442" s="2" t="s">
        <v>11</v>
      </c>
      <c r="G442">
        <v>4</v>
      </c>
      <c r="H442">
        <v>300</v>
      </c>
      <c r="I442">
        <v>1200</v>
      </c>
    </row>
    <row r="443" spans="1:9">
      <c r="A443" s="2">
        <v>442</v>
      </c>
      <c r="B443" s="1">
        <v>45002</v>
      </c>
      <c r="C443" t="s">
        <v>455</v>
      </c>
      <c r="D443" t="s">
        <v>13</v>
      </c>
      <c r="E443">
        <v>60</v>
      </c>
      <c r="F443" s="2" t="s">
        <v>14</v>
      </c>
      <c r="G443">
        <v>4</v>
      </c>
      <c r="H443">
        <v>25</v>
      </c>
      <c r="I443">
        <v>100</v>
      </c>
    </row>
    <row r="444" spans="1:9">
      <c r="A444" s="2">
        <v>443</v>
      </c>
      <c r="B444" s="1">
        <v>45147</v>
      </c>
      <c r="C444" t="s">
        <v>456</v>
      </c>
      <c r="D444" t="s">
        <v>10</v>
      </c>
      <c r="E444">
        <v>29</v>
      </c>
      <c r="F444" s="2" t="s">
        <v>14</v>
      </c>
      <c r="G444">
        <v>2</v>
      </c>
      <c r="H444">
        <v>300</v>
      </c>
      <c r="I444">
        <v>600</v>
      </c>
    </row>
    <row r="445" spans="1:9">
      <c r="A445" s="2">
        <v>444</v>
      </c>
      <c r="B445" s="1">
        <v>44992</v>
      </c>
      <c r="C445" t="s">
        <v>457</v>
      </c>
      <c r="D445" t="s">
        <v>13</v>
      </c>
      <c r="E445">
        <v>61</v>
      </c>
      <c r="F445" s="2" t="s">
        <v>14</v>
      </c>
      <c r="G445">
        <v>3</v>
      </c>
      <c r="H445">
        <v>30</v>
      </c>
      <c r="I445">
        <v>90</v>
      </c>
    </row>
    <row r="446" spans="1:9">
      <c r="A446" s="2">
        <v>445</v>
      </c>
      <c r="B446" s="1">
        <v>44948</v>
      </c>
      <c r="C446" t="s">
        <v>458</v>
      </c>
      <c r="D446" t="s">
        <v>13</v>
      </c>
      <c r="E446">
        <v>53</v>
      </c>
      <c r="F446" s="2" t="s">
        <v>16</v>
      </c>
      <c r="G446">
        <v>1</v>
      </c>
      <c r="H446">
        <v>300</v>
      </c>
      <c r="I446">
        <v>300</v>
      </c>
    </row>
    <row r="447" spans="1:9">
      <c r="A447" s="2">
        <v>446</v>
      </c>
      <c r="B447" s="1">
        <v>45084</v>
      </c>
      <c r="C447" t="s">
        <v>459</v>
      </c>
      <c r="D447" t="s">
        <v>10</v>
      </c>
      <c r="E447">
        <v>21</v>
      </c>
      <c r="F447" s="2" t="s">
        <v>16</v>
      </c>
      <c r="G447">
        <v>1</v>
      </c>
      <c r="H447">
        <v>50</v>
      </c>
      <c r="I447">
        <v>50</v>
      </c>
    </row>
    <row r="448" spans="1:9">
      <c r="A448" s="2">
        <v>447</v>
      </c>
      <c r="B448" s="1">
        <v>45113</v>
      </c>
      <c r="C448" t="s">
        <v>460</v>
      </c>
      <c r="D448" t="s">
        <v>10</v>
      </c>
      <c r="E448">
        <v>22</v>
      </c>
      <c r="F448" s="2" t="s">
        <v>11</v>
      </c>
      <c r="G448">
        <v>4</v>
      </c>
      <c r="H448">
        <v>500</v>
      </c>
      <c r="I448">
        <v>2000</v>
      </c>
    </row>
    <row r="449" spans="1:9">
      <c r="A449" s="2">
        <v>448</v>
      </c>
      <c r="B449" s="1">
        <v>44947</v>
      </c>
      <c r="C449" t="s">
        <v>461</v>
      </c>
      <c r="D449" t="s">
        <v>13</v>
      </c>
      <c r="E449">
        <v>54</v>
      </c>
      <c r="F449" s="2" t="s">
        <v>11</v>
      </c>
      <c r="G449">
        <v>2</v>
      </c>
      <c r="H449">
        <v>30</v>
      </c>
      <c r="I449">
        <v>60</v>
      </c>
    </row>
    <row r="450" spans="1:9">
      <c r="A450" s="2">
        <v>449</v>
      </c>
      <c r="B450" s="1">
        <v>45110</v>
      </c>
      <c r="C450" t="s">
        <v>462</v>
      </c>
      <c r="D450" t="s">
        <v>10</v>
      </c>
      <c r="E450">
        <v>25</v>
      </c>
      <c r="F450" s="2" t="s">
        <v>16</v>
      </c>
      <c r="G450">
        <v>4</v>
      </c>
      <c r="H450">
        <v>50</v>
      </c>
      <c r="I450">
        <v>200</v>
      </c>
    </row>
    <row r="451" spans="1:9">
      <c r="A451" s="2">
        <v>450</v>
      </c>
      <c r="B451" s="1">
        <v>45034</v>
      </c>
      <c r="C451" t="s">
        <v>463</v>
      </c>
      <c r="D451" t="s">
        <v>13</v>
      </c>
      <c r="E451">
        <v>59</v>
      </c>
      <c r="F451" s="2" t="s">
        <v>11</v>
      </c>
      <c r="G451">
        <v>2</v>
      </c>
      <c r="H451">
        <v>25</v>
      </c>
      <c r="I451">
        <v>50</v>
      </c>
    </row>
    <row r="452" spans="1:9">
      <c r="A452" s="2">
        <v>451</v>
      </c>
      <c r="B452" s="1">
        <v>45276</v>
      </c>
      <c r="C452" t="s">
        <v>464</v>
      </c>
      <c r="D452" t="s">
        <v>13</v>
      </c>
      <c r="E452">
        <v>45</v>
      </c>
      <c r="F452" s="2" t="s">
        <v>16</v>
      </c>
      <c r="G452">
        <v>1</v>
      </c>
      <c r="H452">
        <v>30</v>
      </c>
      <c r="I452">
        <v>30</v>
      </c>
    </row>
    <row r="453" spans="1:9">
      <c r="A453" s="2">
        <v>452</v>
      </c>
      <c r="B453" s="1">
        <v>45054</v>
      </c>
      <c r="C453" t="s">
        <v>465</v>
      </c>
      <c r="D453" t="s">
        <v>13</v>
      </c>
      <c r="E453">
        <v>48</v>
      </c>
      <c r="F453" s="2" t="s">
        <v>14</v>
      </c>
      <c r="G453">
        <v>3</v>
      </c>
      <c r="H453">
        <v>500</v>
      </c>
      <c r="I453">
        <v>1500</v>
      </c>
    </row>
    <row r="454" spans="1:9">
      <c r="A454" s="2">
        <v>453</v>
      </c>
      <c r="B454" s="1">
        <v>45268</v>
      </c>
      <c r="C454" t="s">
        <v>466</v>
      </c>
      <c r="D454" t="s">
        <v>13</v>
      </c>
      <c r="E454">
        <v>26</v>
      </c>
      <c r="F454" s="2" t="s">
        <v>14</v>
      </c>
      <c r="G454">
        <v>2</v>
      </c>
      <c r="H454">
        <v>500</v>
      </c>
      <c r="I454">
        <v>1000</v>
      </c>
    </row>
    <row r="455" spans="1:9">
      <c r="A455" s="2">
        <v>454</v>
      </c>
      <c r="B455" s="1">
        <v>44979</v>
      </c>
      <c r="C455" t="s">
        <v>467</v>
      </c>
      <c r="D455" t="s">
        <v>13</v>
      </c>
      <c r="E455">
        <v>46</v>
      </c>
      <c r="F455" s="2" t="s">
        <v>11</v>
      </c>
      <c r="G455">
        <v>1</v>
      </c>
      <c r="H455">
        <v>25</v>
      </c>
      <c r="I455">
        <v>25</v>
      </c>
    </row>
    <row r="456" spans="1:9">
      <c r="A456" s="2">
        <v>455</v>
      </c>
      <c r="B456" s="1">
        <v>45108</v>
      </c>
      <c r="C456" t="s">
        <v>468</v>
      </c>
      <c r="D456" t="s">
        <v>10</v>
      </c>
      <c r="E456">
        <v>31</v>
      </c>
      <c r="F456" s="2" t="s">
        <v>16</v>
      </c>
      <c r="G456">
        <v>4</v>
      </c>
      <c r="H456">
        <v>25</v>
      </c>
      <c r="I456">
        <v>100</v>
      </c>
    </row>
    <row r="457" spans="1:9">
      <c r="A457" s="2">
        <v>456</v>
      </c>
      <c r="B457" s="1">
        <v>45213</v>
      </c>
      <c r="C457" t="s">
        <v>469</v>
      </c>
      <c r="D457" t="s">
        <v>10</v>
      </c>
      <c r="E457">
        <v>57</v>
      </c>
      <c r="F457" s="2" t="s">
        <v>16</v>
      </c>
      <c r="G457">
        <v>2</v>
      </c>
      <c r="H457">
        <v>30</v>
      </c>
      <c r="I457">
        <v>60</v>
      </c>
    </row>
    <row r="458" spans="1:9">
      <c r="A458" s="2">
        <v>457</v>
      </c>
      <c r="B458" s="1">
        <v>45135</v>
      </c>
      <c r="C458" t="s">
        <v>470</v>
      </c>
      <c r="D458" t="s">
        <v>13</v>
      </c>
      <c r="E458">
        <v>58</v>
      </c>
      <c r="F458" s="2" t="s">
        <v>11</v>
      </c>
      <c r="G458">
        <v>3</v>
      </c>
      <c r="H458">
        <v>300</v>
      </c>
      <c r="I458">
        <v>900</v>
      </c>
    </row>
    <row r="459" spans="1:9">
      <c r="A459" s="2">
        <v>458</v>
      </c>
      <c r="B459" s="1">
        <v>45244</v>
      </c>
      <c r="C459" t="s">
        <v>471</v>
      </c>
      <c r="D459" t="s">
        <v>13</v>
      </c>
      <c r="E459">
        <v>39</v>
      </c>
      <c r="F459" s="2" t="s">
        <v>16</v>
      </c>
      <c r="G459">
        <v>4</v>
      </c>
      <c r="H459">
        <v>25</v>
      </c>
      <c r="I459">
        <v>100</v>
      </c>
    </row>
    <row r="460" spans="1:9">
      <c r="A460" s="2">
        <v>459</v>
      </c>
      <c r="B460" s="1">
        <v>45006</v>
      </c>
      <c r="C460" t="s">
        <v>472</v>
      </c>
      <c r="D460" t="s">
        <v>10</v>
      </c>
      <c r="E460">
        <v>28</v>
      </c>
      <c r="F460" s="2" t="s">
        <v>14</v>
      </c>
      <c r="G460">
        <v>4</v>
      </c>
      <c r="H460">
        <v>300</v>
      </c>
      <c r="I460">
        <v>1200</v>
      </c>
    </row>
    <row r="461" spans="1:9">
      <c r="A461" s="2">
        <v>460</v>
      </c>
      <c r="B461" s="1">
        <v>45048</v>
      </c>
      <c r="C461" t="s">
        <v>473</v>
      </c>
      <c r="D461" t="s">
        <v>10</v>
      </c>
      <c r="E461">
        <v>40</v>
      </c>
      <c r="F461" s="2" t="s">
        <v>11</v>
      </c>
      <c r="G461">
        <v>1</v>
      </c>
      <c r="H461">
        <v>50</v>
      </c>
      <c r="I461">
        <v>50</v>
      </c>
    </row>
    <row r="462" spans="1:9">
      <c r="A462" s="2">
        <v>461</v>
      </c>
      <c r="B462" s="1">
        <v>45010</v>
      </c>
      <c r="C462" t="s">
        <v>474</v>
      </c>
      <c r="D462" t="s">
        <v>13</v>
      </c>
      <c r="E462">
        <v>18</v>
      </c>
      <c r="F462" s="2" t="s">
        <v>11</v>
      </c>
      <c r="G462">
        <v>2</v>
      </c>
      <c r="H462">
        <v>500</v>
      </c>
      <c r="I462">
        <v>1000</v>
      </c>
    </row>
    <row r="463" spans="1:9">
      <c r="A463" s="2">
        <v>462</v>
      </c>
      <c r="B463" s="1">
        <v>45017</v>
      </c>
      <c r="C463" t="s">
        <v>475</v>
      </c>
      <c r="D463" t="s">
        <v>10</v>
      </c>
      <c r="E463">
        <v>63</v>
      </c>
      <c r="F463" s="2" t="s">
        <v>16</v>
      </c>
      <c r="G463">
        <v>4</v>
      </c>
      <c r="H463">
        <v>300</v>
      </c>
      <c r="I463">
        <v>1200</v>
      </c>
    </row>
    <row r="464" spans="1:9">
      <c r="A464" s="2">
        <v>463</v>
      </c>
      <c r="B464" s="1">
        <v>45138</v>
      </c>
      <c r="C464" t="s">
        <v>476</v>
      </c>
      <c r="D464" t="s">
        <v>13</v>
      </c>
      <c r="E464">
        <v>54</v>
      </c>
      <c r="F464" s="2" t="s">
        <v>11</v>
      </c>
      <c r="G464">
        <v>3</v>
      </c>
      <c r="H464">
        <v>500</v>
      </c>
      <c r="I464">
        <v>1500</v>
      </c>
    </row>
    <row r="465" spans="1:9">
      <c r="A465" s="2">
        <v>464</v>
      </c>
      <c r="B465" s="1">
        <v>44939</v>
      </c>
      <c r="C465" t="s">
        <v>477</v>
      </c>
      <c r="D465" t="s">
        <v>10</v>
      </c>
      <c r="E465">
        <v>38</v>
      </c>
      <c r="F465" s="2" t="s">
        <v>16</v>
      </c>
      <c r="G465">
        <v>2</v>
      </c>
      <c r="H465">
        <v>300</v>
      </c>
      <c r="I465">
        <v>600</v>
      </c>
    </row>
    <row r="466" spans="1:9">
      <c r="A466" s="2">
        <v>465</v>
      </c>
      <c r="B466" s="1">
        <v>45018</v>
      </c>
      <c r="C466" t="s">
        <v>478</v>
      </c>
      <c r="D466" t="s">
        <v>13</v>
      </c>
      <c r="E466">
        <v>43</v>
      </c>
      <c r="F466" s="2" t="s">
        <v>16</v>
      </c>
      <c r="G466">
        <v>3</v>
      </c>
      <c r="H466">
        <v>50</v>
      </c>
      <c r="I466">
        <v>150</v>
      </c>
    </row>
    <row r="467" spans="1:9">
      <c r="A467" s="2">
        <v>466</v>
      </c>
      <c r="B467" s="1">
        <v>45097</v>
      </c>
      <c r="C467" t="s">
        <v>479</v>
      </c>
      <c r="D467" t="s">
        <v>10</v>
      </c>
      <c r="E467">
        <v>63</v>
      </c>
      <c r="F467" s="2" t="s">
        <v>16</v>
      </c>
      <c r="G467">
        <v>4</v>
      </c>
      <c r="H467">
        <v>25</v>
      </c>
      <c r="I467">
        <v>100</v>
      </c>
    </row>
    <row r="468" spans="1:9">
      <c r="A468" s="2">
        <v>467</v>
      </c>
      <c r="B468" s="1">
        <v>45137</v>
      </c>
      <c r="C468" t="s">
        <v>480</v>
      </c>
      <c r="D468" t="s">
        <v>13</v>
      </c>
      <c r="E468">
        <v>53</v>
      </c>
      <c r="F468" s="2" t="s">
        <v>16</v>
      </c>
      <c r="G468">
        <v>3</v>
      </c>
      <c r="H468">
        <v>50</v>
      </c>
      <c r="I468">
        <v>150</v>
      </c>
    </row>
    <row r="469" spans="1:9">
      <c r="A469" s="2">
        <v>468</v>
      </c>
      <c r="B469" s="1">
        <v>45269</v>
      </c>
      <c r="C469" t="s">
        <v>481</v>
      </c>
      <c r="D469" t="s">
        <v>10</v>
      </c>
      <c r="E469">
        <v>40</v>
      </c>
      <c r="F469" s="2" t="s">
        <v>16</v>
      </c>
      <c r="G469">
        <v>1</v>
      </c>
      <c r="H469">
        <v>25</v>
      </c>
      <c r="I469">
        <v>25</v>
      </c>
    </row>
    <row r="470" spans="1:9">
      <c r="A470" s="2">
        <v>469</v>
      </c>
      <c r="B470" s="1">
        <v>45054</v>
      </c>
      <c r="C470" t="s">
        <v>482</v>
      </c>
      <c r="D470" t="s">
        <v>10</v>
      </c>
      <c r="E470">
        <v>18</v>
      </c>
      <c r="F470" s="2" t="s">
        <v>11</v>
      </c>
      <c r="G470">
        <v>3</v>
      </c>
      <c r="H470">
        <v>25</v>
      </c>
      <c r="I470">
        <v>75</v>
      </c>
    </row>
    <row r="471" spans="1:9">
      <c r="A471" s="2">
        <v>470</v>
      </c>
      <c r="B471" s="1">
        <v>45063</v>
      </c>
      <c r="C471" t="s">
        <v>483</v>
      </c>
      <c r="D471" t="s">
        <v>13</v>
      </c>
      <c r="E471">
        <v>57</v>
      </c>
      <c r="F471" s="2" t="s">
        <v>14</v>
      </c>
      <c r="G471">
        <v>2</v>
      </c>
      <c r="H471">
        <v>500</v>
      </c>
      <c r="I471">
        <v>1000</v>
      </c>
    </row>
    <row r="472" spans="1:9">
      <c r="A472" s="2">
        <v>471</v>
      </c>
      <c r="B472" s="1">
        <v>45008</v>
      </c>
      <c r="C472" t="s">
        <v>484</v>
      </c>
      <c r="D472" t="s">
        <v>10</v>
      </c>
      <c r="E472">
        <v>32</v>
      </c>
      <c r="F472" s="2" t="s">
        <v>14</v>
      </c>
      <c r="G472">
        <v>3</v>
      </c>
      <c r="H472">
        <v>50</v>
      </c>
      <c r="I472">
        <v>150</v>
      </c>
    </row>
    <row r="473" spans="1:9">
      <c r="A473" s="2">
        <v>472</v>
      </c>
      <c r="B473" s="1">
        <v>45286</v>
      </c>
      <c r="C473" t="s">
        <v>485</v>
      </c>
      <c r="D473" t="s">
        <v>13</v>
      </c>
      <c r="E473">
        <v>38</v>
      </c>
      <c r="F473" s="2" t="s">
        <v>11</v>
      </c>
      <c r="G473">
        <v>3</v>
      </c>
      <c r="H473">
        <v>300</v>
      </c>
      <c r="I473">
        <v>900</v>
      </c>
    </row>
    <row r="474" spans="1:9">
      <c r="A474" s="2">
        <v>473</v>
      </c>
      <c r="B474" s="1">
        <v>44982</v>
      </c>
      <c r="C474" t="s">
        <v>486</v>
      </c>
      <c r="D474" t="s">
        <v>10</v>
      </c>
      <c r="E474">
        <v>64</v>
      </c>
      <c r="F474" s="2" t="s">
        <v>11</v>
      </c>
      <c r="G474">
        <v>1</v>
      </c>
      <c r="H474">
        <v>50</v>
      </c>
      <c r="I474">
        <v>50</v>
      </c>
    </row>
    <row r="475" spans="1:9">
      <c r="A475" s="2">
        <v>474</v>
      </c>
      <c r="B475" s="1">
        <v>45122</v>
      </c>
      <c r="C475" t="s">
        <v>487</v>
      </c>
      <c r="D475" t="s">
        <v>13</v>
      </c>
      <c r="E475">
        <v>26</v>
      </c>
      <c r="F475" s="2" t="s">
        <v>14</v>
      </c>
      <c r="G475">
        <v>3</v>
      </c>
      <c r="H475">
        <v>500</v>
      </c>
      <c r="I475">
        <v>1500</v>
      </c>
    </row>
    <row r="476" spans="1:9">
      <c r="A476" s="2">
        <v>475</v>
      </c>
      <c r="B476" s="1">
        <v>44946</v>
      </c>
      <c r="C476" t="s">
        <v>488</v>
      </c>
      <c r="D476" t="s">
        <v>10</v>
      </c>
      <c r="E476">
        <v>26</v>
      </c>
      <c r="F476" s="2" t="s">
        <v>14</v>
      </c>
      <c r="G476">
        <v>3</v>
      </c>
      <c r="H476">
        <v>25</v>
      </c>
      <c r="I476">
        <v>75</v>
      </c>
    </row>
    <row r="477" spans="1:9">
      <c r="A477" s="2">
        <v>476</v>
      </c>
      <c r="B477" s="1">
        <v>45167</v>
      </c>
      <c r="C477" t="s">
        <v>489</v>
      </c>
      <c r="D477" t="s">
        <v>13</v>
      </c>
      <c r="E477">
        <v>27</v>
      </c>
      <c r="F477" s="2" t="s">
        <v>14</v>
      </c>
      <c r="G477">
        <v>4</v>
      </c>
      <c r="H477">
        <v>500</v>
      </c>
      <c r="I477">
        <v>2000</v>
      </c>
    </row>
    <row r="478" spans="1:9">
      <c r="A478" s="2">
        <v>477</v>
      </c>
      <c r="B478" s="1">
        <v>45040</v>
      </c>
      <c r="C478" t="s">
        <v>490</v>
      </c>
      <c r="D478" t="s">
        <v>10</v>
      </c>
      <c r="E478">
        <v>43</v>
      </c>
      <c r="F478" s="2" t="s">
        <v>14</v>
      </c>
      <c r="G478">
        <v>4</v>
      </c>
      <c r="H478">
        <v>30</v>
      </c>
      <c r="I478">
        <v>120</v>
      </c>
    </row>
    <row r="479" spans="1:9">
      <c r="A479" s="2">
        <v>478</v>
      </c>
      <c r="B479" s="1">
        <v>45029</v>
      </c>
      <c r="C479" t="s">
        <v>491</v>
      </c>
      <c r="D479" t="s">
        <v>13</v>
      </c>
      <c r="E479">
        <v>58</v>
      </c>
      <c r="F479" s="2" t="s">
        <v>14</v>
      </c>
      <c r="G479">
        <v>2</v>
      </c>
      <c r="H479">
        <v>30</v>
      </c>
      <c r="I479">
        <v>60</v>
      </c>
    </row>
    <row r="480" spans="1:9">
      <c r="A480" s="2">
        <v>479</v>
      </c>
      <c r="B480" s="1">
        <v>45162</v>
      </c>
      <c r="C480" t="s">
        <v>492</v>
      </c>
      <c r="D480" t="s">
        <v>10</v>
      </c>
      <c r="E480">
        <v>52</v>
      </c>
      <c r="F480" s="2" t="s">
        <v>16</v>
      </c>
      <c r="G480">
        <v>4</v>
      </c>
      <c r="H480">
        <v>300</v>
      </c>
      <c r="I480">
        <v>1200</v>
      </c>
    </row>
    <row r="481" spans="1:9">
      <c r="A481" s="2">
        <v>480</v>
      </c>
      <c r="B481" s="1">
        <v>45106</v>
      </c>
      <c r="C481" t="s">
        <v>493</v>
      </c>
      <c r="D481" t="s">
        <v>13</v>
      </c>
      <c r="E481">
        <v>42</v>
      </c>
      <c r="F481" s="2" t="s">
        <v>11</v>
      </c>
      <c r="G481">
        <v>4</v>
      </c>
      <c r="H481">
        <v>500</v>
      </c>
      <c r="I481">
        <v>2000</v>
      </c>
    </row>
    <row r="482" spans="1:9">
      <c r="A482" s="2">
        <v>481</v>
      </c>
      <c r="B482" s="1">
        <v>45083</v>
      </c>
      <c r="C482" t="s">
        <v>494</v>
      </c>
      <c r="D482" t="s">
        <v>13</v>
      </c>
      <c r="E482">
        <v>43</v>
      </c>
      <c r="F482" s="2" t="s">
        <v>16</v>
      </c>
      <c r="G482">
        <v>4</v>
      </c>
      <c r="H482">
        <v>300</v>
      </c>
      <c r="I482">
        <v>1200</v>
      </c>
    </row>
    <row r="483" spans="1:9">
      <c r="A483" s="2">
        <v>482</v>
      </c>
      <c r="B483" s="1">
        <v>45043</v>
      </c>
      <c r="C483" t="s">
        <v>495</v>
      </c>
      <c r="D483" t="s">
        <v>13</v>
      </c>
      <c r="E483">
        <v>28</v>
      </c>
      <c r="F483" s="2" t="s">
        <v>14</v>
      </c>
      <c r="G483">
        <v>4</v>
      </c>
      <c r="H483">
        <v>300</v>
      </c>
      <c r="I483">
        <v>1200</v>
      </c>
    </row>
    <row r="484" spans="1:9">
      <c r="A484" s="2">
        <v>483</v>
      </c>
      <c r="B484" s="1">
        <v>45041</v>
      </c>
      <c r="C484" t="s">
        <v>496</v>
      </c>
      <c r="D484" t="s">
        <v>10</v>
      </c>
      <c r="E484">
        <v>55</v>
      </c>
      <c r="F484" s="2" t="s">
        <v>14</v>
      </c>
      <c r="G484">
        <v>1</v>
      </c>
      <c r="H484">
        <v>30</v>
      </c>
      <c r="I484">
        <v>30</v>
      </c>
    </row>
    <row r="485" spans="1:9">
      <c r="A485" s="2">
        <v>484</v>
      </c>
      <c r="B485" s="1">
        <v>44939</v>
      </c>
      <c r="C485" t="s">
        <v>497</v>
      </c>
      <c r="D485" t="s">
        <v>13</v>
      </c>
      <c r="E485">
        <v>19</v>
      </c>
      <c r="F485" s="2" t="s">
        <v>14</v>
      </c>
      <c r="G485">
        <v>4</v>
      </c>
      <c r="H485">
        <v>300</v>
      </c>
      <c r="I485">
        <v>1200</v>
      </c>
    </row>
    <row r="486" spans="1:9">
      <c r="A486" s="2">
        <v>485</v>
      </c>
      <c r="B486" s="1">
        <v>45264</v>
      </c>
      <c r="C486" t="s">
        <v>498</v>
      </c>
      <c r="D486" t="s">
        <v>10</v>
      </c>
      <c r="E486">
        <v>24</v>
      </c>
      <c r="F486" s="2" t="s">
        <v>16</v>
      </c>
      <c r="G486">
        <v>1</v>
      </c>
      <c r="H486">
        <v>30</v>
      </c>
      <c r="I486">
        <v>30</v>
      </c>
    </row>
    <row r="487" spans="1:9">
      <c r="A487" s="2">
        <v>486</v>
      </c>
      <c r="B487" s="1">
        <v>45025</v>
      </c>
      <c r="C487" t="s">
        <v>499</v>
      </c>
      <c r="D487" t="s">
        <v>13</v>
      </c>
      <c r="E487">
        <v>35</v>
      </c>
      <c r="F487" s="2" t="s">
        <v>16</v>
      </c>
      <c r="G487">
        <v>1</v>
      </c>
      <c r="H487">
        <v>25</v>
      </c>
      <c r="I487">
        <v>25</v>
      </c>
    </row>
    <row r="488" spans="1:9">
      <c r="A488" s="2">
        <v>487</v>
      </c>
      <c r="B488" s="1">
        <v>45131</v>
      </c>
      <c r="C488" t="s">
        <v>500</v>
      </c>
      <c r="D488" t="s">
        <v>10</v>
      </c>
      <c r="E488">
        <v>44</v>
      </c>
      <c r="F488" s="2" t="s">
        <v>14</v>
      </c>
      <c r="G488">
        <v>4</v>
      </c>
      <c r="H488">
        <v>500</v>
      </c>
      <c r="I488">
        <v>2000</v>
      </c>
    </row>
    <row r="489" spans="1:9">
      <c r="A489" s="2">
        <v>488</v>
      </c>
      <c r="B489" s="1">
        <v>45095</v>
      </c>
      <c r="C489" t="s">
        <v>501</v>
      </c>
      <c r="D489" t="s">
        <v>13</v>
      </c>
      <c r="E489">
        <v>51</v>
      </c>
      <c r="F489" s="2" t="s">
        <v>16</v>
      </c>
      <c r="G489">
        <v>3</v>
      </c>
      <c r="H489">
        <v>300</v>
      </c>
      <c r="I489">
        <v>900</v>
      </c>
    </row>
    <row r="490" spans="1:9">
      <c r="A490" s="2">
        <v>489</v>
      </c>
      <c r="B490" s="1">
        <v>45069</v>
      </c>
      <c r="C490" t="s">
        <v>502</v>
      </c>
      <c r="D490" t="s">
        <v>10</v>
      </c>
      <c r="E490">
        <v>44</v>
      </c>
      <c r="F490" s="2" t="s">
        <v>16</v>
      </c>
      <c r="G490">
        <v>1</v>
      </c>
      <c r="H490">
        <v>30</v>
      </c>
      <c r="I490">
        <v>30</v>
      </c>
    </row>
    <row r="491" spans="1:9">
      <c r="A491" s="2">
        <v>490</v>
      </c>
      <c r="B491" s="1">
        <v>44962</v>
      </c>
      <c r="C491" t="s">
        <v>503</v>
      </c>
      <c r="D491" t="s">
        <v>10</v>
      </c>
      <c r="E491">
        <v>34</v>
      </c>
      <c r="F491" s="2" t="s">
        <v>14</v>
      </c>
      <c r="G491">
        <v>3</v>
      </c>
      <c r="H491">
        <v>50</v>
      </c>
      <c r="I491">
        <v>150</v>
      </c>
    </row>
    <row r="492" spans="1:9">
      <c r="A492" s="2">
        <v>491</v>
      </c>
      <c r="B492" s="1">
        <v>45069</v>
      </c>
      <c r="C492" t="s">
        <v>504</v>
      </c>
      <c r="D492" t="s">
        <v>13</v>
      </c>
      <c r="E492">
        <v>60</v>
      </c>
      <c r="F492" s="2" t="s">
        <v>16</v>
      </c>
      <c r="G492">
        <v>3</v>
      </c>
      <c r="H492">
        <v>300</v>
      </c>
      <c r="I492">
        <v>900</v>
      </c>
    </row>
    <row r="493" spans="1:9">
      <c r="A493" s="2">
        <v>492</v>
      </c>
      <c r="B493" s="1">
        <v>45106</v>
      </c>
      <c r="C493" t="s">
        <v>505</v>
      </c>
      <c r="D493" t="s">
        <v>10</v>
      </c>
      <c r="E493">
        <v>61</v>
      </c>
      <c r="F493" s="2" t="s">
        <v>11</v>
      </c>
      <c r="G493">
        <v>4</v>
      </c>
      <c r="H493">
        <v>25</v>
      </c>
      <c r="I493">
        <v>100</v>
      </c>
    </row>
    <row r="494" spans="1:9">
      <c r="A494" s="2">
        <v>493</v>
      </c>
      <c r="B494" s="1">
        <v>45255</v>
      </c>
      <c r="C494" t="s">
        <v>506</v>
      </c>
      <c r="D494" t="s">
        <v>10</v>
      </c>
      <c r="E494">
        <v>41</v>
      </c>
      <c r="F494" s="2" t="s">
        <v>11</v>
      </c>
      <c r="G494">
        <v>2</v>
      </c>
      <c r="H494">
        <v>25</v>
      </c>
      <c r="I494">
        <v>50</v>
      </c>
    </row>
    <row r="495" spans="1:9">
      <c r="A495" s="2">
        <v>494</v>
      </c>
      <c r="B495" s="1">
        <v>45187</v>
      </c>
      <c r="C495" t="s">
        <v>507</v>
      </c>
      <c r="D495" t="s">
        <v>13</v>
      </c>
      <c r="E495">
        <v>42</v>
      </c>
      <c r="F495" s="2" t="s">
        <v>11</v>
      </c>
      <c r="G495">
        <v>4</v>
      </c>
      <c r="H495">
        <v>50</v>
      </c>
      <c r="I495">
        <v>200</v>
      </c>
    </row>
    <row r="496" spans="1:9">
      <c r="A496" s="2">
        <v>495</v>
      </c>
      <c r="B496" s="1">
        <v>45131</v>
      </c>
      <c r="C496" t="s">
        <v>508</v>
      </c>
      <c r="D496" t="s">
        <v>10</v>
      </c>
      <c r="E496">
        <v>24</v>
      </c>
      <c r="F496" s="2" t="s">
        <v>11</v>
      </c>
      <c r="G496">
        <v>2</v>
      </c>
      <c r="H496">
        <v>30</v>
      </c>
      <c r="I496">
        <v>60</v>
      </c>
    </row>
    <row r="497" spans="1:9">
      <c r="A497" s="2">
        <v>496</v>
      </c>
      <c r="B497" s="1">
        <v>45274</v>
      </c>
      <c r="C497" t="s">
        <v>509</v>
      </c>
      <c r="D497" t="s">
        <v>10</v>
      </c>
      <c r="E497">
        <v>23</v>
      </c>
      <c r="F497" s="2" t="s">
        <v>14</v>
      </c>
      <c r="G497">
        <v>2</v>
      </c>
      <c r="H497">
        <v>300</v>
      </c>
      <c r="I497">
        <v>600</v>
      </c>
    </row>
    <row r="498" spans="1:9">
      <c r="A498" s="2">
        <v>497</v>
      </c>
      <c r="B498" s="1">
        <v>45201</v>
      </c>
      <c r="C498" t="s">
        <v>510</v>
      </c>
      <c r="D498" t="s">
        <v>10</v>
      </c>
      <c r="E498">
        <v>41</v>
      </c>
      <c r="F498" s="2" t="s">
        <v>14</v>
      </c>
      <c r="G498">
        <v>4</v>
      </c>
      <c r="H498">
        <v>30</v>
      </c>
      <c r="I498">
        <v>120</v>
      </c>
    </row>
    <row r="499" spans="1:9">
      <c r="A499" s="2">
        <v>498</v>
      </c>
      <c r="B499" s="1">
        <v>45096</v>
      </c>
      <c r="C499" t="s">
        <v>511</v>
      </c>
      <c r="D499" t="s">
        <v>13</v>
      </c>
      <c r="E499">
        <v>50</v>
      </c>
      <c r="F499" s="2" t="s">
        <v>14</v>
      </c>
      <c r="G499">
        <v>4</v>
      </c>
      <c r="H499">
        <v>25</v>
      </c>
      <c r="I499">
        <v>100</v>
      </c>
    </row>
    <row r="500" spans="1:9">
      <c r="A500" s="2">
        <v>499</v>
      </c>
      <c r="B500" s="1">
        <v>44941</v>
      </c>
      <c r="C500" t="s">
        <v>512</v>
      </c>
      <c r="D500" t="s">
        <v>10</v>
      </c>
      <c r="E500">
        <v>46</v>
      </c>
      <c r="F500" s="2" t="s">
        <v>11</v>
      </c>
      <c r="G500">
        <v>2</v>
      </c>
      <c r="H500">
        <v>30</v>
      </c>
      <c r="I500">
        <v>60</v>
      </c>
    </row>
    <row r="501" spans="1:9">
      <c r="A501" s="2">
        <v>500</v>
      </c>
      <c r="B501" s="1">
        <v>44986</v>
      </c>
      <c r="C501" t="s">
        <v>513</v>
      </c>
      <c r="D501" t="s">
        <v>13</v>
      </c>
      <c r="E501">
        <v>60</v>
      </c>
      <c r="F501" s="2" t="s">
        <v>11</v>
      </c>
      <c r="G501">
        <v>4</v>
      </c>
      <c r="H501">
        <v>25</v>
      </c>
      <c r="I501">
        <v>100</v>
      </c>
    </row>
    <row r="502" spans="1:9">
      <c r="A502" s="2">
        <v>501</v>
      </c>
      <c r="B502" s="1">
        <v>45060</v>
      </c>
      <c r="C502" t="s">
        <v>514</v>
      </c>
      <c r="D502" t="s">
        <v>10</v>
      </c>
      <c r="E502">
        <v>39</v>
      </c>
      <c r="F502" s="2" t="s">
        <v>16</v>
      </c>
      <c r="G502">
        <v>2</v>
      </c>
      <c r="H502">
        <v>30</v>
      </c>
      <c r="I502">
        <v>60</v>
      </c>
    </row>
    <row r="503" spans="1:9">
      <c r="A503" s="2">
        <v>502</v>
      </c>
      <c r="B503" s="1">
        <v>45018</v>
      </c>
      <c r="C503" t="s">
        <v>515</v>
      </c>
      <c r="D503" t="s">
        <v>10</v>
      </c>
      <c r="E503">
        <v>43</v>
      </c>
      <c r="F503" s="2" t="s">
        <v>16</v>
      </c>
      <c r="G503">
        <v>3</v>
      </c>
      <c r="H503">
        <v>50</v>
      </c>
      <c r="I503">
        <v>150</v>
      </c>
    </row>
    <row r="504" spans="1:9">
      <c r="A504" s="2">
        <v>503</v>
      </c>
      <c r="B504" s="1">
        <v>45224</v>
      </c>
      <c r="C504" t="s">
        <v>516</v>
      </c>
      <c r="D504" t="s">
        <v>10</v>
      </c>
      <c r="E504">
        <v>45</v>
      </c>
      <c r="F504" s="2" t="s">
        <v>11</v>
      </c>
      <c r="G504">
        <v>4</v>
      </c>
      <c r="H504">
        <v>500</v>
      </c>
      <c r="I504">
        <v>2000</v>
      </c>
    </row>
    <row r="505" spans="1:9">
      <c r="A505" s="2">
        <v>504</v>
      </c>
      <c r="B505" s="1">
        <v>45062</v>
      </c>
      <c r="C505" t="s">
        <v>517</v>
      </c>
      <c r="D505" t="s">
        <v>13</v>
      </c>
      <c r="E505">
        <v>38</v>
      </c>
      <c r="F505" s="2" t="s">
        <v>11</v>
      </c>
      <c r="G505">
        <v>3</v>
      </c>
      <c r="H505">
        <v>50</v>
      </c>
      <c r="I505">
        <v>150</v>
      </c>
    </row>
    <row r="506" spans="1:9">
      <c r="A506" s="2">
        <v>505</v>
      </c>
      <c r="B506" s="1">
        <v>44946</v>
      </c>
      <c r="C506" t="s">
        <v>518</v>
      </c>
      <c r="D506" t="s">
        <v>10</v>
      </c>
      <c r="E506">
        <v>24</v>
      </c>
      <c r="F506" s="2" t="s">
        <v>11</v>
      </c>
      <c r="G506">
        <v>1</v>
      </c>
      <c r="H506">
        <v>50</v>
      </c>
      <c r="I506">
        <v>50</v>
      </c>
    </row>
    <row r="507" spans="1:9">
      <c r="A507" s="2">
        <v>506</v>
      </c>
      <c r="B507" s="1">
        <v>44982</v>
      </c>
      <c r="C507" t="s">
        <v>519</v>
      </c>
      <c r="D507" t="s">
        <v>10</v>
      </c>
      <c r="E507">
        <v>34</v>
      </c>
      <c r="F507" s="2" t="s">
        <v>11</v>
      </c>
      <c r="G507">
        <v>3</v>
      </c>
      <c r="H507">
        <v>500</v>
      </c>
      <c r="I507">
        <v>1500</v>
      </c>
    </row>
    <row r="508" spans="1:9">
      <c r="A508" s="2">
        <v>507</v>
      </c>
      <c r="B508" s="1">
        <v>45232</v>
      </c>
      <c r="C508" t="s">
        <v>520</v>
      </c>
      <c r="D508" t="s">
        <v>13</v>
      </c>
      <c r="E508">
        <v>37</v>
      </c>
      <c r="F508" s="2" t="s">
        <v>16</v>
      </c>
      <c r="G508">
        <v>3</v>
      </c>
      <c r="H508">
        <v>500</v>
      </c>
      <c r="I508">
        <v>1500</v>
      </c>
    </row>
    <row r="509" spans="1:9">
      <c r="A509" s="2">
        <v>508</v>
      </c>
      <c r="B509" s="1">
        <v>45149</v>
      </c>
      <c r="C509" t="s">
        <v>521</v>
      </c>
      <c r="D509" t="s">
        <v>10</v>
      </c>
      <c r="E509">
        <v>58</v>
      </c>
      <c r="F509" s="2" t="s">
        <v>11</v>
      </c>
      <c r="G509">
        <v>2</v>
      </c>
      <c r="H509">
        <v>300</v>
      </c>
      <c r="I509">
        <v>600</v>
      </c>
    </row>
    <row r="510" spans="1:9">
      <c r="A510" s="2">
        <v>509</v>
      </c>
      <c r="B510" s="1">
        <v>45103</v>
      </c>
      <c r="C510" t="s">
        <v>522</v>
      </c>
      <c r="D510" t="s">
        <v>13</v>
      </c>
      <c r="E510">
        <v>37</v>
      </c>
      <c r="F510" s="2" t="s">
        <v>16</v>
      </c>
      <c r="G510">
        <v>3</v>
      </c>
      <c r="H510">
        <v>300</v>
      </c>
      <c r="I510">
        <v>900</v>
      </c>
    </row>
    <row r="511" spans="1:9">
      <c r="A511" s="2">
        <v>510</v>
      </c>
      <c r="B511" s="1">
        <v>45087</v>
      </c>
      <c r="C511" t="s">
        <v>523</v>
      </c>
      <c r="D511" t="s">
        <v>13</v>
      </c>
      <c r="E511">
        <v>39</v>
      </c>
      <c r="F511" s="2" t="s">
        <v>11</v>
      </c>
      <c r="G511">
        <v>4</v>
      </c>
      <c r="H511">
        <v>50</v>
      </c>
      <c r="I511">
        <v>200</v>
      </c>
    </row>
    <row r="512" spans="1:9">
      <c r="A512" s="2">
        <v>511</v>
      </c>
      <c r="B512" s="1">
        <v>45150</v>
      </c>
      <c r="C512" t="s">
        <v>524</v>
      </c>
      <c r="D512" t="s">
        <v>10</v>
      </c>
      <c r="E512">
        <v>45</v>
      </c>
      <c r="F512" s="2" t="s">
        <v>11</v>
      </c>
      <c r="G512">
        <v>2</v>
      </c>
      <c r="H512">
        <v>50</v>
      </c>
      <c r="I512">
        <v>100</v>
      </c>
    </row>
    <row r="513" spans="1:9">
      <c r="A513" s="2">
        <v>512</v>
      </c>
      <c r="B513" s="1">
        <v>45237</v>
      </c>
      <c r="C513" t="s">
        <v>525</v>
      </c>
      <c r="D513" t="s">
        <v>13</v>
      </c>
      <c r="E513">
        <v>57</v>
      </c>
      <c r="F513" s="2" t="s">
        <v>11</v>
      </c>
      <c r="G513">
        <v>1</v>
      </c>
      <c r="H513">
        <v>25</v>
      </c>
      <c r="I513">
        <v>25</v>
      </c>
    </row>
    <row r="514" spans="1:9">
      <c r="A514" s="2">
        <v>513</v>
      </c>
      <c r="B514" s="1">
        <v>45188</v>
      </c>
      <c r="C514" t="s">
        <v>526</v>
      </c>
      <c r="D514" t="s">
        <v>10</v>
      </c>
      <c r="E514">
        <v>24</v>
      </c>
      <c r="F514" s="2" t="s">
        <v>16</v>
      </c>
      <c r="G514">
        <v>4</v>
      </c>
      <c r="H514">
        <v>25</v>
      </c>
      <c r="I514">
        <v>100</v>
      </c>
    </row>
    <row r="515" spans="1:9">
      <c r="A515" s="2">
        <v>514</v>
      </c>
      <c r="B515" s="1">
        <v>44986</v>
      </c>
      <c r="C515" t="s">
        <v>527</v>
      </c>
      <c r="D515" t="s">
        <v>13</v>
      </c>
      <c r="E515">
        <v>18</v>
      </c>
      <c r="F515" s="2" t="s">
        <v>16</v>
      </c>
      <c r="G515">
        <v>1</v>
      </c>
      <c r="H515">
        <v>300</v>
      </c>
      <c r="I515">
        <v>300</v>
      </c>
    </row>
    <row r="516" spans="1:9">
      <c r="A516" s="2">
        <v>515</v>
      </c>
      <c r="B516" s="1">
        <v>45124</v>
      </c>
      <c r="C516" t="s">
        <v>528</v>
      </c>
      <c r="D516" t="s">
        <v>13</v>
      </c>
      <c r="E516">
        <v>49</v>
      </c>
      <c r="F516" s="2" t="s">
        <v>14</v>
      </c>
      <c r="G516">
        <v>3</v>
      </c>
      <c r="H516">
        <v>300</v>
      </c>
      <c r="I516">
        <v>900</v>
      </c>
    </row>
    <row r="517" spans="1:9">
      <c r="A517" s="2">
        <v>516</v>
      </c>
      <c r="B517" s="1">
        <v>45222</v>
      </c>
      <c r="C517" t="s">
        <v>529</v>
      </c>
      <c r="D517" t="s">
        <v>10</v>
      </c>
      <c r="E517">
        <v>30</v>
      </c>
      <c r="F517" s="2" t="s">
        <v>11</v>
      </c>
      <c r="G517">
        <v>4</v>
      </c>
      <c r="H517">
        <v>25</v>
      </c>
      <c r="I517">
        <v>100</v>
      </c>
    </row>
    <row r="518" spans="1:9">
      <c r="A518" s="2">
        <v>517</v>
      </c>
      <c r="B518" s="1">
        <v>45024</v>
      </c>
      <c r="C518" t="s">
        <v>530</v>
      </c>
      <c r="D518" t="s">
        <v>13</v>
      </c>
      <c r="E518">
        <v>47</v>
      </c>
      <c r="F518" s="2" t="s">
        <v>14</v>
      </c>
      <c r="G518">
        <v>4</v>
      </c>
      <c r="H518">
        <v>25</v>
      </c>
      <c r="I518">
        <v>100</v>
      </c>
    </row>
    <row r="519" spans="1:9">
      <c r="A519" s="2">
        <v>518</v>
      </c>
      <c r="B519" s="1">
        <v>45057</v>
      </c>
      <c r="C519" t="s">
        <v>531</v>
      </c>
      <c r="D519" t="s">
        <v>13</v>
      </c>
      <c r="E519">
        <v>40</v>
      </c>
      <c r="F519" s="2" t="s">
        <v>14</v>
      </c>
      <c r="G519">
        <v>1</v>
      </c>
      <c r="H519">
        <v>30</v>
      </c>
      <c r="I519">
        <v>30</v>
      </c>
    </row>
    <row r="520" spans="1:9">
      <c r="A520" s="2">
        <v>519</v>
      </c>
      <c r="B520" s="1">
        <v>44949</v>
      </c>
      <c r="C520" t="s">
        <v>532</v>
      </c>
      <c r="D520" t="s">
        <v>13</v>
      </c>
      <c r="E520">
        <v>36</v>
      </c>
      <c r="F520" s="2" t="s">
        <v>16</v>
      </c>
      <c r="G520">
        <v>4</v>
      </c>
      <c r="H520">
        <v>30</v>
      </c>
      <c r="I520">
        <v>120</v>
      </c>
    </row>
    <row r="521" spans="1:9">
      <c r="A521" s="2">
        <v>520</v>
      </c>
      <c r="B521" s="1">
        <v>45289</v>
      </c>
      <c r="C521" t="s">
        <v>533</v>
      </c>
      <c r="D521" t="s">
        <v>13</v>
      </c>
      <c r="E521">
        <v>49</v>
      </c>
      <c r="F521" s="2" t="s">
        <v>16</v>
      </c>
      <c r="G521">
        <v>4</v>
      </c>
      <c r="H521">
        <v>25</v>
      </c>
      <c r="I521">
        <v>100</v>
      </c>
    </row>
    <row r="522" spans="1:9">
      <c r="A522" s="2">
        <v>521</v>
      </c>
      <c r="B522" s="1">
        <v>45150</v>
      </c>
      <c r="C522" t="s">
        <v>534</v>
      </c>
      <c r="D522" t="s">
        <v>13</v>
      </c>
      <c r="E522">
        <v>47</v>
      </c>
      <c r="F522" s="2" t="s">
        <v>14</v>
      </c>
      <c r="G522">
        <v>4</v>
      </c>
      <c r="H522">
        <v>30</v>
      </c>
      <c r="I522">
        <v>120</v>
      </c>
    </row>
    <row r="523" spans="1:9">
      <c r="A523" s="2">
        <v>522</v>
      </c>
      <c r="B523" s="1">
        <v>44927</v>
      </c>
      <c r="C523" t="s">
        <v>535</v>
      </c>
      <c r="D523" t="s">
        <v>10</v>
      </c>
      <c r="E523">
        <v>46</v>
      </c>
      <c r="F523" s="2" t="s">
        <v>11</v>
      </c>
      <c r="G523">
        <v>3</v>
      </c>
      <c r="H523">
        <v>500</v>
      </c>
      <c r="I523">
        <v>1500</v>
      </c>
    </row>
    <row r="524" spans="1:9">
      <c r="A524" s="2">
        <v>523</v>
      </c>
      <c r="B524" s="1">
        <v>45193</v>
      </c>
      <c r="C524" t="s">
        <v>536</v>
      </c>
      <c r="D524" t="s">
        <v>13</v>
      </c>
      <c r="E524">
        <v>62</v>
      </c>
      <c r="F524" s="2" t="s">
        <v>16</v>
      </c>
      <c r="G524">
        <v>1</v>
      </c>
      <c r="H524">
        <v>300</v>
      </c>
      <c r="I524">
        <v>300</v>
      </c>
    </row>
    <row r="525" spans="1:9">
      <c r="A525" s="2">
        <v>524</v>
      </c>
      <c r="B525" s="1">
        <v>45202</v>
      </c>
      <c r="C525" t="s">
        <v>537</v>
      </c>
      <c r="D525" t="s">
        <v>10</v>
      </c>
      <c r="E525">
        <v>46</v>
      </c>
      <c r="F525" s="2" t="s">
        <v>11</v>
      </c>
      <c r="G525">
        <v>4</v>
      </c>
      <c r="H525">
        <v>300</v>
      </c>
      <c r="I525">
        <v>1200</v>
      </c>
    </row>
    <row r="526" spans="1:9">
      <c r="A526" s="2">
        <v>525</v>
      </c>
      <c r="B526" s="1">
        <v>45278</v>
      </c>
      <c r="C526" t="s">
        <v>538</v>
      </c>
      <c r="D526" t="s">
        <v>13</v>
      </c>
      <c r="E526">
        <v>47</v>
      </c>
      <c r="F526" s="2" t="s">
        <v>11</v>
      </c>
      <c r="G526">
        <v>2</v>
      </c>
      <c r="H526">
        <v>25</v>
      </c>
      <c r="I526">
        <v>50</v>
      </c>
    </row>
    <row r="527" spans="1:9">
      <c r="A527" s="2">
        <v>526</v>
      </c>
      <c r="B527" s="1">
        <v>45270</v>
      </c>
      <c r="C527" t="s">
        <v>539</v>
      </c>
      <c r="D527" t="s">
        <v>10</v>
      </c>
      <c r="E527">
        <v>33</v>
      </c>
      <c r="F527" s="2" t="s">
        <v>14</v>
      </c>
      <c r="G527">
        <v>2</v>
      </c>
      <c r="H527">
        <v>50</v>
      </c>
      <c r="I527">
        <v>100</v>
      </c>
    </row>
    <row r="528" spans="1:9">
      <c r="A528" s="2">
        <v>527</v>
      </c>
      <c r="B528" s="1">
        <v>45027</v>
      </c>
      <c r="C528" t="s">
        <v>540</v>
      </c>
      <c r="D528" t="s">
        <v>10</v>
      </c>
      <c r="E528">
        <v>57</v>
      </c>
      <c r="F528" s="2" t="s">
        <v>14</v>
      </c>
      <c r="G528">
        <v>2</v>
      </c>
      <c r="H528">
        <v>25</v>
      </c>
      <c r="I528">
        <v>50</v>
      </c>
    </row>
    <row r="529" spans="1:9">
      <c r="A529" s="2">
        <v>528</v>
      </c>
      <c r="B529" s="1">
        <v>45113</v>
      </c>
      <c r="C529" t="s">
        <v>541</v>
      </c>
      <c r="D529" t="s">
        <v>13</v>
      </c>
      <c r="E529">
        <v>36</v>
      </c>
      <c r="F529" s="2" t="s">
        <v>14</v>
      </c>
      <c r="G529">
        <v>2</v>
      </c>
      <c r="H529">
        <v>30</v>
      </c>
      <c r="I529">
        <v>60</v>
      </c>
    </row>
    <row r="530" spans="1:9">
      <c r="A530" s="2">
        <v>529</v>
      </c>
      <c r="B530" s="1">
        <v>45147</v>
      </c>
      <c r="C530" t="s">
        <v>542</v>
      </c>
      <c r="D530" t="s">
        <v>13</v>
      </c>
      <c r="E530">
        <v>35</v>
      </c>
      <c r="F530" s="2" t="s">
        <v>14</v>
      </c>
      <c r="G530">
        <v>3</v>
      </c>
      <c r="H530">
        <v>50</v>
      </c>
      <c r="I530">
        <v>150</v>
      </c>
    </row>
    <row r="531" spans="1:9">
      <c r="A531" s="2">
        <v>530</v>
      </c>
      <c r="B531" s="1">
        <v>44962</v>
      </c>
      <c r="C531" t="s">
        <v>543</v>
      </c>
      <c r="D531" t="s">
        <v>13</v>
      </c>
      <c r="E531">
        <v>18</v>
      </c>
      <c r="F531" s="2" t="s">
        <v>16</v>
      </c>
      <c r="G531">
        <v>4</v>
      </c>
      <c r="H531">
        <v>30</v>
      </c>
      <c r="I531">
        <v>120</v>
      </c>
    </row>
    <row r="532" spans="1:9">
      <c r="A532" s="2">
        <v>531</v>
      </c>
      <c r="B532" s="1">
        <v>45267</v>
      </c>
      <c r="C532" t="s">
        <v>544</v>
      </c>
      <c r="D532" t="s">
        <v>10</v>
      </c>
      <c r="E532">
        <v>31</v>
      </c>
      <c r="F532" s="2" t="s">
        <v>16</v>
      </c>
      <c r="G532">
        <v>1</v>
      </c>
      <c r="H532">
        <v>500</v>
      </c>
      <c r="I532">
        <v>500</v>
      </c>
    </row>
    <row r="533" spans="1:9">
      <c r="A533" s="2">
        <v>532</v>
      </c>
      <c r="B533" s="1">
        <v>45096</v>
      </c>
      <c r="C533" t="s">
        <v>545</v>
      </c>
      <c r="D533" t="s">
        <v>13</v>
      </c>
      <c r="E533">
        <v>64</v>
      </c>
      <c r="F533" s="2" t="s">
        <v>14</v>
      </c>
      <c r="G533">
        <v>4</v>
      </c>
      <c r="H533">
        <v>30</v>
      </c>
      <c r="I533">
        <v>120</v>
      </c>
    </row>
    <row r="534" spans="1:9">
      <c r="A534" s="2">
        <v>533</v>
      </c>
      <c r="B534" s="1">
        <v>45246</v>
      </c>
      <c r="C534" t="s">
        <v>546</v>
      </c>
      <c r="D534" t="s">
        <v>10</v>
      </c>
      <c r="E534">
        <v>19</v>
      </c>
      <c r="F534" s="2" t="s">
        <v>16</v>
      </c>
      <c r="G534">
        <v>3</v>
      </c>
      <c r="H534">
        <v>500</v>
      </c>
      <c r="I534">
        <v>1500</v>
      </c>
    </row>
    <row r="535" spans="1:9">
      <c r="A535" s="2">
        <v>534</v>
      </c>
      <c r="B535" s="1">
        <v>45087</v>
      </c>
      <c r="C535" t="s">
        <v>547</v>
      </c>
      <c r="D535" t="s">
        <v>10</v>
      </c>
      <c r="E535">
        <v>45</v>
      </c>
      <c r="F535" s="2" t="s">
        <v>14</v>
      </c>
      <c r="G535">
        <v>2</v>
      </c>
      <c r="H535">
        <v>500</v>
      </c>
      <c r="I535">
        <v>1000</v>
      </c>
    </row>
    <row r="536" spans="1:9">
      <c r="A536" s="2">
        <v>535</v>
      </c>
      <c r="B536" s="1">
        <v>45266</v>
      </c>
      <c r="C536" t="s">
        <v>548</v>
      </c>
      <c r="D536" t="s">
        <v>10</v>
      </c>
      <c r="E536">
        <v>47</v>
      </c>
      <c r="F536" s="2" t="s">
        <v>11</v>
      </c>
      <c r="G536">
        <v>3</v>
      </c>
      <c r="H536">
        <v>30</v>
      </c>
      <c r="I536">
        <v>90</v>
      </c>
    </row>
    <row r="537" spans="1:9">
      <c r="A537" s="2">
        <v>536</v>
      </c>
      <c r="B537" s="1">
        <v>44990</v>
      </c>
      <c r="C537" t="s">
        <v>549</v>
      </c>
      <c r="D537" t="s">
        <v>13</v>
      </c>
      <c r="E537">
        <v>55</v>
      </c>
      <c r="F537" s="2" t="s">
        <v>11</v>
      </c>
      <c r="G537">
        <v>4</v>
      </c>
      <c r="H537">
        <v>30</v>
      </c>
      <c r="I537">
        <v>120</v>
      </c>
    </row>
    <row r="538" spans="1:9">
      <c r="A538" s="2">
        <v>537</v>
      </c>
      <c r="B538" s="1">
        <v>45080</v>
      </c>
      <c r="C538" t="s">
        <v>550</v>
      </c>
      <c r="D538" t="s">
        <v>13</v>
      </c>
      <c r="E538">
        <v>21</v>
      </c>
      <c r="F538" s="2" t="s">
        <v>11</v>
      </c>
      <c r="G538">
        <v>1</v>
      </c>
      <c r="H538">
        <v>500</v>
      </c>
      <c r="I538">
        <v>500</v>
      </c>
    </row>
    <row r="539" spans="1:9">
      <c r="A539" s="2">
        <v>538</v>
      </c>
      <c r="B539" s="1">
        <v>45186</v>
      </c>
      <c r="C539" t="s">
        <v>551</v>
      </c>
      <c r="D539" t="s">
        <v>10</v>
      </c>
      <c r="E539">
        <v>18</v>
      </c>
      <c r="F539" s="2" t="s">
        <v>14</v>
      </c>
      <c r="G539">
        <v>3</v>
      </c>
      <c r="H539">
        <v>50</v>
      </c>
      <c r="I539">
        <v>150</v>
      </c>
    </row>
    <row r="540" spans="1:9">
      <c r="A540" s="2">
        <v>539</v>
      </c>
      <c r="B540" s="1">
        <v>45085</v>
      </c>
      <c r="C540" t="s">
        <v>552</v>
      </c>
      <c r="D540" t="s">
        <v>10</v>
      </c>
      <c r="E540">
        <v>25</v>
      </c>
      <c r="F540" s="2" t="s">
        <v>11</v>
      </c>
      <c r="G540">
        <v>1</v>
      </c>
      <c r="H540">
        <v>500</v>
      </c>
      <c r="I540">
        <v>500</v>
      </c>
    </row>
    <row r="541" spans="1:9">
      <c r="A541" s="2">
        <v>540</v>
      </c>
      <c r="B541" s="1">
        <v>45268</v>
      </c>
      <c r="C541" t="s">
        <v>553</v>
      </c>
      <c r="D541" t="s">
        <v>13</v>
      </c>
      <c r="E541">
        <v>46</v>
      </c>
      <c r="F541" s="2" t="s">
        <v>16</v>
      </c>
      <c r="G541">
        <v>3</v>
      </c>
      <c r="H541">
        <v>300</v>
      </c>
      <c r="I541">
        <v>900</v>
      </c>
    </row>
    <row r="542" spans="1:9">
      <c r="A542" s="2">
        <v>541</v>
      </c>
      <c r="B542" s="1">
        <v>45136</v>
      </c>
      <c r="C542" t="s">
        <v>554</v>
      </c>
      <c r="D542" t="s">
        <v>10</v>
      </c>
      <c r="E542">
        <v>56</v>
      </c>
      <c r="F542" s="2" t="s">
        <v>11</v>
      </c>
      <c r="G542">
        <v>1</v>
      </c>
      <c r="H542">
        <v>500</v>
      </c>
      <c r="I542">
        <v>500</v>
      </c>
    </row>
    <row r="543" spans="1:9">
      <c r="A543" s="2">
        <v>542</v>
      </c>
      <c r="B543" s="1">
        <v>45094</v>
      </c>
      <c r="C543" t="s">
        <v>555</v>
      </c>
      <c r="D543" t="s">
        <v>13</v>
      </c>
      <c r="E543">
        <v>20</v>
      </c>
      <c r="F543" s="2" t="s">
        <v>11</v>
      </c>
      <c r="G543">
        <v>1</v>
      </c>
      <c r="H543">
        <v>50</v>
      </c>
      <c r="I543">
        <v>50</v>
      </c>
    </row>
    <row r="544" spans="1:9">
      <c r="A544" s="2">
        <v>543</v>
      </c>
      <c r="B544" s="1">
        <v>45133</v>
      </c>
      <c r="C544" t="s">
        <v>556</v>
      </c>
      <c r="D544" t="s">
        <v>10</v>
      </c>
      <c r="E544">
        <v>49</v>
      </c>
      <c r="F544" s="2" t="s">
        <v>11</v>
      </c>
      <c r="G544">
        <v>2</v>
      </c>
      <c r="H544">
        <v>300</v>
      </c>
      <c r="I544">
        <v>600</v>
      </c>
    </row>
    <row r="545" spans="1:9">
      <c r="A545" s="2">
        <v>544</v>
      </c>
      <c r="B545" s="1">
        <v>45283</v>
      </c>
      <c r="C545" t="s">
        <v>557</v>
      </c>
      <c r="D545" t="s">
        <v>13</v>
      </c>
      <c r="E545">
        <v>27</v>
      </c>
      <c r="F545" s="2" t="s">
        <v>16</v>
      </c>
      <c r="G545">
        <v>1</v>
      </c>
      <c r="H545">
        <v>25</v>
      </c>
      <c r="I545">
        <v>25</v>
      </c>
    </row>
    <row r="546" spans="1:9">
      <c r="A546" s="2">
        <v>545</v>
      </c>
      <c r="B546" s="1">
        <v>45078</v>
      </c>
      <c r="C546" t="s">
        <v>558</v>
      </c>
      <c r="D546" t="s">
        <v>10</v>
      </c>
      <c r="E546">
        <v>27</v>
      </c>
      <c r="F546" s="2" t="s">
        <v>14</v>
      </c>
      <c r="G546">
        <v>2</v>
      </c>
      <c r="H546">
        <v>25</v>
      </c>
      <c r="I546">
        <v>50</v>
      </c>
    </row>
    <row r="547" spans="1:9">
      <c r="A547" s="2">
        <v>546</v>
      </c>
      <c r="B547" s="1">
        <v>45210</v>
      </c>
      <c r="C547" t="s">
        <v>559</v>
      </c>
      <c r="D547" t="s">
        <v>13</v>
      </c>
      <c r="E547">
        <v>36</v>
      </c>
      <c r="F547" s="2" t="s">
        <v>16</v>
      </c>
      <c r="G547">
        <v>4</v>
      </c>
      <c r="H547">
        <v>50</v>
      </c>
      <c r="I547">
        <v>200</v>
      </c>
    </row>
    <row r="548" spans="1:9">
      <c r="A548" s="2">
        <v>547</v>
      </c>
      <c r="B548" s="1">
        <v>44992</v>
      </c>
      <c r="C548" t="s">
        <v>560</v>
      </c>
      <c r="D548" t="s">
        <v>10</v>
      </c>
      <c r="E548">
        <v>63</v>
      </c>
      <c r="F548" s="2" t="s">
        <v>14</v>
      </c>
      <c r="G548">
        <v>4</v>
      </c>
      <c r="H548">
        <v>500</v>
      </c>
      <c r="I548">
        <v>2000</v>
      </c>
    </row>
    <row r="549" spans="1:9">
      <c r="A549" s="2">
        <v>548</v>
      </c>
      <c r="B549" s="1">
        <v>45025</v>
      </c>
      <c r="C549" t="s">
        <v>561</v>
      </c>
      <c r="D549" t="s">
        <v>13</v>
      </c>
      <c r="E549">
        <v>51</v>
      </c>
      <c r="F549" s="2" t="s">
        <v>14</v>
      </c>
      <c r="G549">
        <v>2</v>
      </c>
      <c r="H549">
        <v>30</v>
      </c>
      <c r="I549">
        <v>60</v>
      </c>
    </row>
    <row r="550" spans="1:9">
      <c r="A550" s="2">
        <v>549</v>
      </c>
      <c r="B550" s="1">
        <v>45142</v>
      </c>
      <c r="C550" t="s">
        <v>562</v>
      </c>
      <c r="D550" t="s">
        <v>13</v>
      </c>
      <c r="E550">
        <v>50</v>
      </c>
      <c r="F550" s="2" t="s">
        <v>11</v>
      </c>
      <c r="G550">
        <v>2</v>
      </c>
      <c r="H550">
        <v>50</v>
      </c>
      <c r="I550">
        <v>100</v>
      </c>
    </row>
    <row r="551" spans="1:9">
      <c r="A551" s="2">
        <v>550</v>
      </c>
      <c r="B551" s="1">
        <v>45267</v>
      </c>
      <c r="C551" t="s">
        <v>563</v>
      </c>
      <c r="D551" t="s">
        <v>10</v>
      </c>
      <c r="E551">
        <v>40</v>
      </c>
      <c r="F551" s="2" t="s">
        <v>14</v>
      </c>
      <c r="G551">
        <v>3</v>
      </c>
      <c r="H551">
        <v>300</v>
      </c>
      <c r="I551">
        <v>900</v>
      </c>
    </row>
    <row r="552" spans="1:9">
      <c r="A552" s="2">
        <v>551</v>
      </c>
      <c r="B552" s="1">
        <v>45121</v>
      </c>
      <c r="C552" t="s">
        <v>564</v>
      </c>
      <c r="D552" t="s">
        <v>10</v>
      </c>
      <c r="E552">
        <v>45</v>
      </c>
      <c r="F552" s="2" t="s">
        <v>16</v>
      </c>
      <c r="G552">
        <v>3</v>
      </c>
      <c r="H552">
        <v>300</v>
      </c>
      <c r="I552">
        <v>900</v>
      </c>
    </row>
    <row r="553" spans="1:9">
      <c r="A553" s="2">
        <v>552</v>
      </c>
      <c r="B553" s="1">
        <v>45273</v>
      </c>
      <c r="C553" t="s">
        <v>565</v>
      </c>
      <c r="D553" t="s">
        <v>13</v>
      </c>
      <c r="E553">
        <v>49</v>
      </c>
      <c r="F553" s="2" t="s">
        <v>16</v>
      </c>
      <c r="G553">
        <v>3</v>
      </c>
      <c r="H553">
        <v>25</v>
      </c>
      <c r="I553">
        <v>75</v>
      </c>
    </row>
    <row r="554" spans="1:9">
      <c r="A554" s="2">
        <v>553</v>
      </c>
      <c r="B554" s="1">
        <v>45016</v>
      </c>
      <c r="C554" t="s">
        <v>566</v>
      </c>
      <c r="D554" t="s">
        <v>10</v>
      </c>
      <c r="E554">
        <v>24</v>
      </c>
      <c r="F554" s="2" t="s">
        <v>14</v>
      </c>
      <c r="G554">
        <v>4</v>
      </c>
      <c r="H554">
        <v>300</v>
      </c>
      <c r="I554">
        <v>1200</v>
      </c>
    </row>
    <row r="555" spans="1:9">
      <c r="A555" s="2">
        <v>554</v>
      </c>
      <c r="B555" s="1">
        <v>45242</v>
      </c>
      <c r="C555" t="s">
        <v>567</v>
      </c>
      <c r="D555" t="s">
        <v>13</v>
      </c>
      <c r="E555">
        <v>46</v>
      </c>
      <c r="F555" s="2" t="s">
        <v>11</v>
      </c>
      <c r="G555">
        <v>3</v>
      </c>
      <c r="H555">
        <v>50</v>
      </c>
      <c r="I555">
        <v>150</v>
      </c>
    </row>
    <row r="556" spans="1:9">
      <c r="A556" s="2">
        <v>555</v>
      </c>
      <c r="B556" s="1">
        <v>45218</v>
      </c>
      <c r="C556" t="s">
        <v>568</v>
      </c>
      <c r="D556" t="s">
        <v>10</v>
      </c>
      <c r="E556">
        <v>25</v>
      </c>
      <c r="F556" s="2" t="s">
        <v>11</v>
      </c>
      <c r="G556">
        <v>1</v>
      </c>
      <c r="H556">
        <v>300</v>
      </c>
      <c r="I556">
        <v>300</v>
      </c>
    </row>
    <row r="557" spans="1:9">
      <c r="A557" s="2">
        <v>556</v>
      </c>
      <c r="B557" s="1">
        <v>45081</v>
      </c>
      <c r="C557" t="s">
        <v>569</v>
      </c>
      <c r="D557" t="s">
        <v>13</v>
      </c>
      <c r="E557">
        <v>18</v>
      </c>
      <c r="F557" s="2" t="s">
        <v>16</v>
      </c>
      <c r="G557">
        <v>1</v>
      </c>
      <c r="H557">
        <v>50</v>
      </c>
      <c r="I557">
        <v>50</v>
      </c>
    </row>
    <row r="558" spans="1:9">
      <c r="A558" s="2">
        <v>557</v>
      </c>
      <c r="B558" s="1">
        <v>45134</v>
      </c>
      <c r="C558" t="s">
        <v>570</v>
      </c>
      <c r="D558" t="s">
        <v>13</v>
      </c>
      <c r="E558">
        <v>20</v>
      </c>
      <c r="F558" s="2" t="s">
        <v>11</v>
      </c>
      <c r="G558">
        <v>3</v>
      </c>
      <c r="H558">
        <v>30</v>
      </c>
      <c r="I558">
        <v>90</v>
      </c>
    </row>
    <row r="559" spans="1:9">
      <c r="A559" s="2">
        <v>558</v>
      </c>
      <c r="B559" s="1">
        <v>45207</v>
      </c>
      <c r="C559" t="s">
        <v>571</v>
      </c>
      <c r="D559" t="s">
        <v>13</v>
      </c>
      <c r="E559">
        <v>41</v>
      </c>
      <c r="F559" s="2" t="s">
        <v>14</v>
      </c>
      <c r="G559">
        <v>1</v>
      </c>
      <c r="H559">
        <v>25</v>
      </c>
      <c r="I559">
        <v>25</v>
      </c>
    </row>
    <row r="560" spans="1:9">
      <c r="A560" s="2">
        <v>559</v>
      </c>
      <c r="B560" s="1">
        <v>44927</v>
      </c>
      <c r="C560" t="s">
        <v>572</v>
      </c>
      <c r="D560" t="s">
        <v>13</v>
      </c>
      <c r="E560">
        <v>40</v>
      </c>
      <c r="F560" s="2" t="s">
        <v>14</v>
      </c>
      <c r="G560">
        <v>4</v>
      </c>
      <c r="H560">
        <v>300</v>
      </c>
      <c r="I560">
        <v>1200</v>
      </c>
    </row>
    <row r="561" spans="1:9">
      <c r="A561" s="2">
        <v>560</v>
      </c>
      <c r="B561" s="1">
        <v>45082</v>
      </c>
      <c r="C561" t="s">
        <v>573</v>
      </c>
      <c r="D561" t="s">
        <v>13</v>
      </c>
      <c r="E561">
        <v>25</v>
      </c>
      <c r="F561" s="2" t="s">
        <v>16</v>
      </c>
      <c r="G561">
        <v>1</v>
      </c>
      <c r="H561">
        <v>50</v>
      </c>
      <c r="I561">
        <v>50</v>
      </c>
    </row>
    <row r="562" spans="1:9">
      <c r="A562" s="2">
        <v>561</v>
      </c>
      <c r="B562" s="1">
        <v>45073</v>
      </c>
      <c r="C562" t="s">
        <v>574</v>
      </c>
      <c r="D562" t="s">
        <v>13</v>
      </c>
      <c r="E562">
        <v>64</v>
      </c>
      <c r="F562" s="2" t="s">
        <v>14</v>
      </c>
      <c r="G562">
        <v>4</v>
      </c>
      <c r="H562">
        <v>500</v>
      </c>
      <c r="I562">
        <v>2000</v>
      </c>
    </row>
    <row r="563" spans="1:9">
      <c r="A563" s="2">
        <v>562</v>
      </c>
      <c r="B563" s="1">
        <v>45034</v>
      </c>
      <c r="C563" t="s">
        <v>575</v>
      </c>
      <c r="D563" t="s">
        <v>10</v>
      </c>
      <c r="E563">
        <v>54</v>
      </c>
      <c r="F563" s="2" t="s">
        <v>16</v>
      </c>
      <c r="G563">
        <v>2</v>
      </c>
      <c r="H563">
        <v>25</v>
      </c>
      <c r="I563">
        <v>50</v>
      </c>
    </row>
    <row r="564" spans="1:9">
      <c r="A564" s="2">
        <v>563</v>
      </c>
      <c r="B564" s="1">
        <v>45147</v>
      </c>
      <c r="C564" t="s">
        <v>576</v>
      </c>
      <c r="D564" t="s">
        <v>10</v>
      </c>
      <c r="E564">
        <v>20</v>
      </c>
      <c r="F564" s="2" t="s">
        <v>14</v>
      </c>
      <c r="G564">
        <v>2</v>
      </c>
      <c r="H564">
        <v>30</v>
      </c>
      <c r="I564">
        <v>60</v>
      </c>
    </row>
    <row r="565" spans="1:9">
      <c r="A565" s="2">
        <v>564</v>
      </c>
      <c r="B565" s="1">
        <v>45223</v>
      </c>
      <c r="C565" t="s">
        <v>577</v>
      </c>
      <c r="D565" t="s">
        <v>10</v>
      </c>
      <c r="E565">
        <v>50</v>
      </c>
      <c r="F565" s="2" t="s">
        <v>16</v>
      </c>
      <c r="G565">
        <v>2</v>
      </c>
      <c r="H565">
        <v>50</v>
      </c>
      <c r="I565">
        <v>100</v>
      </c>
    </row>
    <row r="566" spans="1:9">
      <c r="A566" s="2">
        <v>565</v>
      </c>
      <c r="B566" s="1">
        <v>45237</v>
      </c>
      <c r="C566" t="s">
        <v>578</v>
      </c>
      <c r="D566" t="s">
        <v>13</v>
      </c>
      <c r="E566">
        <v>45</v>
      </c>
      <c r="F566" s="2" t="s">
        <v>11</v>
      </c>
      <c r="G566">
        <v>2</v>
      </c>
      <c r="H566">
        <v>30</v>
      </c>
      <c r="I566">
        <v>60</v>
      </c>
    </row>
    <row r="567" spans="1:9">
      <c r="A567" s="2">
        <v>566</v>
      </c>
      <c r="B567" s="1">
        <v>45262</v>
      </c>
      <c r="C567" t="s">
        <v>579</v>
      </c>
      <c r="D567" t="s">
        <v>13</v>
      </c>
      <c r="E567">
        <v>64</v>
      </c>
      <c r="F567" s="2" t="s">
        <v>14</v>
      </c>
      <c r="G567">
        <v>1</v>
      </c>
      <c r="H567">
        <v>30</v>
      </c>
      <c r="I567">
        <v>30</v>
      </c>
    </row>
    <row r="568" spans="1:9">
      <c r="A568" s="2">
        <v>567</v>
      </c>
      <c r="B568" s="1">
        <v>45091</v>
      </c>
      <c r="C568" t="s">
        <v>580</v>
      </c>
      <c r="D568" t="s">
        <v>13</v>
      </c>
      <c r="E568">
        <v>25</v>
      </c>
      <c r="F568" s="2" t="s">
        <v>14</v>
      </c>
      <c r="G568">
        <v>3</v>
      </c>
      <c r="H568">
        <v>300</v>
      </c>
      <c r="I568">
        <v>900</v>
      </c>
    </row>
    <row r="569" spans="1:9">
      <c r="A569" s="2">
        <v>568</v>
      </c>
      <c r="B569" s="1">
        <v>45165</v>
      </c>
      <c r="C569" t="s">
        <v>581</v>
      </c>
      <c r="D569" t="s">
        <v>13</v>
      </c>
      <c r="E569">
        <v>51</v>
      </c>
      <c r="F569" s="2" t="s">
        <v>16</v>
      </c>
      <c r="G569">
        <v>1</v>
      </c>
      <c r="H569">
        <v>300</v>
      </c>
      <c r="I569">
        <v>300</v>
      </c>
    </row>
    <row r="570" spans="1:9">
      <c r="A570" s="2">
        <v>569</v>
      </c>
      <c r="B570" s="1">
        <v>45153</v>
      </c>
      <c r="C570" t="s">
        <v>582</v>
      </c>
      <c r="D570" t="s">
        <v>10</v>
      </c>
      <c r="E570">
        <v>52</v>
      </c>
      <c r="F570" s="2" t="s">
        <v>16</v>
      </c>
      <c r="G570">
        <v>4</v>
      </c>
      <c r="H570">
        <v>50</v>
      </c>
      <c r="I570">
        <v>200</v>
      </c>
    </row>
    <row r="571" spans="1:9">
      <c r="A571" s="2">
        <v>570</v>
      </c>
      <c r="B571" s="1">
        <v>45153</v>
      </c>
      <c r="C571" t="s">
        <v>583</v>
      </c>
      <c r="D571" t="s">
        <v>10</v>
      </c>
      <c r="E571">
        <v>49</v>
      </c>
      <c r="F571" s="2" t="s">
        <v>14</v>
      </c>
      <c r="G571">
        <v>1</v>
      </c>
      <c r="H571">
        <v>500</v>
      </c>
      <c r="I571">
        <v>500</v>
      </c>
    </row>
    <row r="572" spans="1:9">
      <c r="A572" s="2">
        <v>571</v>
      </c>
      <c r="B572" s="1">
        <v>45272</v>
      </c>
      <c r="C572" t="s">
        <v>584</v>
      </c>
      <c r="D572" t="s">
        <v>13</v>
      </c>
      <c r="E572">
        <v>41</v>
      </c>
      <c r="F572" s="2" t="s">
        <v>16</v>
      </c>
      <c r="G572">
        <v>1</v>
      </c>
      <c r="H572">
        <v>50</v>
      </c>
      <c r="I572">
        <v>50</v>
      </c>
    </row>
    <row r="573" spans="1:9">
      <c r="A573" s="2">
        <v>572</v>
      </c>
      <c r="B573" s="1">
        <v>45036</v>
      </c>
      <c r="C573" t="s">
        <v>585</v>
      </c>
      <c r="D573" t="s">
        <v>10</v>
      </c>
      <c r="E573">
        <v>31</v>
      </c>
      <c r="F573" s="2" t="s">
        <v>14</v>
      </c>
      <c r="G573">
        <v>4</v>
      </c>
      <c r="H573">
        <v>500</v>
      </c>
      <c r="I573">
        <v>2000</v>
      </c>
    </row>
    <row r="574" spans="1:9">
      <c r="A574" s="2">
        <v>573</v>
      </c>
      <c r="B574" s="1">
        <v>45188</v>
      </c>
      <c r="C574" t="s">
        <v>586</v>
      </c>
      <c r="D574" t="s">
        <v>10</v>
      </c>
      <c r="E574">
        <v>49</v>
      </c>
      <c r="F574" s="2" t="s">
        <v>11</v>
      </c>
      <c r="G574">
        <v>2</v>
      </c>
      <c r="H574">
        <v>30</v>
      </c>
      <c r="I574">
        <v>60</v>
      </c>
    </row>
    <row r="575" spans="1:9">
      <c r="A575" s="2">
        <v>574</v>
      </c>
      <c r="B575" s="1">
        <v>45169</v>
      </c>
      <c r="C575" t="s">
        <v>587</v>
      </c>
      <c r="D575" t="s">
        <v>13</v>
      </c>
      <c r="E575">
        <v>63</v>
      </c>
      <c r="F575" s="2" t="s">
        <v>16</v>
      </c>
      <c r="G575">
        <v>2</v>
      </c>
      <c r="H575">
        <v>25</v>
      </c>
      <c r="I575">
        <v>50</v>
      </c>
    </row>
    <row r="576" spans="1:9">
      <c r="A576" s="2">
        <v>575</v>
      </c>
      <c r="B576" s="1">
        <v>45013</v>
      </c>
      <c r="C576" t="s">
        <v>588</v>
      </c>
      <c r="D576" t="s">
        <v>10</v>
      </c>
      <c r="E576">
        <v>60</v>
      </c>
      <c r="F576" s="2" t="s">
        <v>14</v>
      </c>
      <c r="G576">
        <v>2</v>
      </c>
      <c r="H576">
        <v>50</v>
      </c>
      <c r="I576">
        <v>100</v>
      </c>
    </row>
    <row r="577" spans="1:9">
      <c r="A577" s="2">
        <v>576</v>
      </c>
      <c r="B577" s="1">
        <v>45264</v>
      </c>
      <c r="C577" t="s">
        <v>589</v>
      </c>
      <c r="D577" t="s">
        <v>13</v>
      </c>
      <c r="E577">
        <v>33</v>
      </c>
      <c r="F577" s="2" t="s">
        <v>11</v>
      </c>
      <c r="G577">
        <v>3</v>
      </c>
      <c r="H577">
        <v>50</v>
      </c>
      <c r="I577">
        <v>150</v>
      </c>
    </row>
    <row r="578" spans="1:9">
      <c r="A578" s="2">
        <v>577</v>
      </c>
      <c r="B578" s="1">
        <v>44970</v>
      </c>
      <c r="C578" t="s">
        <v>590</v>
      </c>
      <c r="D578" t="s">
        <v>10</v>
      </c>
      <c r="E578">
        <v>21</v>
      </c>
      <c r="F578" s="2" t="s">
        <v>11</v>
      </c>
      <c r="G578">
        <v>4</v>
      </c>
      <c r="H578">
        <v>500</v>
      </c>
      <c r="I578">
        <v>2000</v>
      </c>
    </row>
    <row r="579" spans="1:9">
      <c r="A579" s="2">
        <v>578</v>
      </c>
      <c r="B579" s="1">
        <v>45072</v>
      </c>
      <c r="C579" t="s">
        <v>591</v>
      </c>
      <c r="D579" t="s">
        <v>13</v>
      </c>
      <c r="E579">
        <v>54</v>
      </c>
      <c r="F579" s="2" t="s">
        <v>14</v>
      </c>
      <c r="G579">
        <v>4</v>
      </c>
      <c r="H579">
        <v>30</v>
      </c>
      <c r="I579">
        <v>120</v>
      </c>
    </row>
    <row r="580" spans="1:9">
      <c r="A580" s="2">
        <v>579</v>
      </c>
      <c r="B580" s="1">
        <v>45190</v>
      </c>
      <c r="C580" t="s">
        <v>592</v>
      </c>
      <c r="D580" t="s">
        <v>13</v>
      </c>
      <c r="E580">
        <v>38</v>
      </c>
      <c r="F580" s="2" t="s">
        <v>16</v>
      </c>
      <c r="G580">
        <v>1</v>
      </c>
      <c r="H580">
        <v>30</v>
      </c>
      <c r="I580">
        <v>30</v>
      </c>
    </row>
    <row r="581" spans="1:9">
      <c r="A581" s="2">
        <v>580</v>
      </c>
      <c r="B581" s="1">
        <v>45266</v>
      </c>
      <c r="C581" t="s">
        <v>593</v>
      </c>
      <c r="D581" t="s">
        <v>13</v>
      </c>
      <c r="E581">
        <v>31</v>
      </c>
      <c r="F581" s="2" t="s">
        <v>14</v>
      </c>
      <c r="G581">
        <v>3</v>
      </c>
      <c r="H581">
        <v>500</v>
      </c>
      <c r="I581">
        <v>1500</v>
      </c>
    </row>
    <row r="582" spans="1:9">
      <c r="A582" s="2">
        <v>581</v>
      </c>
      <c r="B582" s="1">
        <v>45251</v>
      </c>
      <c r="C582" t="s">
        <v>594</v>
      </c>
      <c r="D582" t="s">
        <v>13</v>
      </c>
      <c r="E582">
        <v>48</v>
      </c>
      <c r="F582" s="2" t="s">
        <v>11</v>
      </c>
      <c r="G582">
        <v>2</v>
      </c>
      <c r="H582">
        <v>30</v>
      </c>
      <c r="I582">
        <v>60</v>
      </c>
    </row>
    <row r="583" spans="1:9">
      <c r="A583" s="2">
        <v>582</v>
      </c>
      <c r="B583" s="1">
        <v>45244</v>
      </c>
      <c r="C583" t="s">
        <v>595</v>
      </c>
      <c r="D583" t="s">
        <v>10</v>
      </c>
      <c r="E583">
        <v>35</v>
      </c>
      <c r="F583" s="2" t="s">
        <v>14</v>
      </c>
      <c r="G583">
        <v>3</v>
      </c>
      <c r="H583">
        <v>300</v>
      </c>
      <c r="I583">
        <v>900</v>
      </c>
    </row>
    <row r="584" spans="1:9">
      <c r="A584" s="2">
        <v>583</v>
      </c>
      <c r="B584" s="1">
        <v>45098</v>
      </c>
      <c r="C584" t="s">
        <v>596</v>
      </c>
      <c r="D584" t="s">
        <v>13</v>
      </c>
      <c r="E584">
        <v>24</v>
      </c>
      <c r="F584" s="2" t="s">
        <v>16</v>
      </c>
      <c r="G584">
        <v>4</v>
      </c>
      <c r="H584">
        <v>25</v>
      </c>
      <c r="I584">
        <v>100</v>
      </c>
    </row>
    <row r="585" spans="1:9">
      <c r="A585" s="2">
        <v>584</v>
      </c>
      <c r="B585" s="1">
        <v>44974</v>
      </c>
      <c r="C585" t="s">
        <v>597</v>
      </c>
      <c r="D585" t="s">
        <v>13</v>
      </c>
      <c r="E585">
        <v>27</v>
      </c>
      <c r="F585" s="2" t="s">
        <v>11</v>
      </c>
      <c r="G585">
        <v>4</v>
      </c>
      <c r="H585">
        <v>50</v>
      </c>
      <c r="I585">
        <v>200</v>
      </c>
    </row>
    <row r="586" spans="1:9">
      <c r="A586" s="2">
        <v>585</v>
      </c>
      <c r="B586" s="1">
        <v>45047</v>
      </c>
      <c r="C586" t="s">
        <v>598</v>
      </c>
      <c r="D586" t="s">
        <v>13</v>
      </c>
      <c r="E586">
        <v>24</v>
      </c>
      <c r="F586" s="2" t="s">
        <v>14</v>
      </c>
      <c r="G586">
        <v>1</v>
      </c>
      <c r="H586">
        <v>25</v>
      </c>
      <c r="I586">
        <v>25</v>
      </c>
    </row>
    <row r="587" spans="1:9">
      <c r="A587" s="2">
        <v>586</v>
      </c>
      <c r="B587" s="1">
        <v>45271</v>
      </c>
      <c r="C587" t="s">
        <v>599</v>
      </c>
      <c r="D587" t="s">
        <v>10</v>
      </c>
      <c r="E587">
        <v>50</v>
      </c>
      <c r="F587" s="2" t="s">
        <v>16</v>
      </c>
      <c r="G587">
        <v>1</v>
      </c>
      <c r="H587">
        <v>50</v>
      </c>
      <c r="I587">
        <v>50</v>
      </c>
    </row>
    <row r="588" spans="1:9">
      <c r="A588" s="2">
        <v>587</v>
      </c>
      <c r="B588" s="1">
        <v>45085</v>
      </c>
      <c r="C588" t="s">
        <v>600</v>
      </c>
      <c r="D588" t="s">
        <v>13</v>
      </c>
      <c r="E588">
        <v>40</v>
      </c>
      <c r="F588" s="2" t="s">
        <v>11</v>
      </c>
      <c r="G588">
        <v>4</v>
      </c>
      <c r="H588">
        <v>300</v>
      </c>
      <c r="I588">
        <v>1200</v>
      </c>
    </row>
    <row r="589" spans="1:9">
      <c r="A589" s="2">
        <v>588</v>
      </c>
      <c r="B589" s="1">
        <v>45042</v>
      </c>
      <c r="C589" t="s">
        <v>601</v>
      </c>
      <c r="D589" t="s">
        <v>10</v>
      </c>
      <c r="E589">
        <v>38</v>
      </c>
      <c r="F589" s="2" t="s">
        <v>16</v>
      </c>
      <c r="G589">
        <v>2</v>
      </c>
      <c r="H589">
        <v>30</v>
      </c>
      <c r="I589">
        <v>60</v>
      </c>
    </row>
    <row r="590" spans="1:9">
      <c r="A590" s="2">
        <v>589</v>
      </c>
      <c r="B590" s="1">
        <v>45028</v>
      </c>
      <c r="C590" t="s">
        <v>602</v>
      </c>
      <c r="D590" t="s">
        <v>13</v>
      </c>
      <c r="E590">
        <v>36</v>
      </c>
      <c r="F590" s="2" t="s">
        <v>11</v>
      </c>
      <c r="G590">
        <v>2</v>
      </c>
      <c r="H590">
        <v>500</v>
      </c>
      <c r="I590">
        <v>1000</v>
      </c>
    </row>
    <row r="591" spans="1:9">
      <c r="A591" s="2">
        <v>590</v>
      </c>
      <c r="B591" s="1">
        <v>45002</v>
      </c>
      <c r="C591" t="s">
        <v>603</v>
      </c>
      <c r="D591" t="s">
        <v>10</v>
      </c>
      <c r="E591">
        <v>36</v>
      </c>
      <c r="F591" s="2" t="s">
        <v>14</v>
      </c>
      <c r="G591">
        <v>3</v>
      </c>
      <c r="H591">
        <v>300</v>
      </c>
      <c r="I591">
        <v>900</v>
      </c>
    </row>
    <row r="592" spans="1:9">
      <c r="A592" s="2">
        <v>591</v>
      </c>
      <c r="B592" s="1">
        <v>44939</v>
      </c>
      <c r="C592" t="s">
        <v>604</v>
      </c>
      <c r="D592" t="s">
        <v>10</v>
      </c>
      <c r="E592">
        <v>53</v>
      </c>
      <c r="F592" s="2" t="s">
        <v>16</v>
      </c>
      <c r="G592">
        <v>4</v>
      </c>
      <c r="H592">
        <v>25</v>
      </c>
      <c r="I592">
        <v>100</v>
      </c>
    </row>
    <row r="593" spans="1:9">
      <c r="A593" s="2">
        <v>592</v>
      </c>
      <c r="B593" s="1">
        <v>44950</v>
      </c>
      <c r="C593" t="s">
        <v>605</v>
      </c>
      <c r="D593" t="s">
        <v>13</v>
      </c>
      <c r="E593">
        <v>46</v>
      </c>
      <c r="F593" s="2" t="s">
        <v>11</v>
      </c>
      <c r="G593">
        <v>4</v>
      </c>
      <c r="H593">
        <v>500</v>
      </c>
      <c r="I593">
        <v>2000</v>
      </c>
    </row>
    <row r="594" spans="1:9">
      <c r="A594" s="2">
        <v>593</v>
      </c>
      <c r="B594" s="1">
        <v>45052</v>
      </c>
      <c r="C594" t="s">
        <v>606</v>
      </c>
      <c r="D594" t="s">
        <v>10</v>
      </c>
      <c r="E594">
        <v>35</v>
      </c>
      <c r="F594" s="2" t="s">
        <v>16</v>
      </c>
      <c r="G594">
        <v>2</v>
      </c>
      <c r="H594">
        <v>30</v>
      </c>
      <c r="I594">
        <v>60</v>
      </c>
    </row>
    <row r="595" spans="1:9">
      <c r="A595" s="2">
        <v>594</v>
      </c>
      <c r="B595" s="1">
        <v>45170</v>
      </c>
      <c r="C595" t="s">
        <v>607</v>
      </c>
      <c r="D595" t="s">
        <v>13</v>
      </c>
      <c r="E595">
        <v>19</v>
      </c>
      <c r="F595" s="2" t="s">
        <v>16</v>
      </c>
      <c r="G595">
        <v>2</v>
      </c>
      <c r="H595">
        <v>300</v>
      </c>
      <c r="I595">
        <v>600</v>
      </c>
    </row>
    <row r="596" spans="1:9">
      <c r="A596" s="2">
        <v>595</v>
      </c>
      <c r="B596" s="1">
        <v>45239</v>
      </c>
      <c r="C596" t="s">
        <v>608</v>
      </c>
      <c r="D596" t="s">
        <v>13</v>
      </c>
      <c r="E596">
        <v>18</v>
      </c>
      <c r="F596" s="2" t="s">
        <v>14</v>
      </c>
      <c r="G596">
        <v>4</v>
      </c>
      <c r="H596">
        <v>500</v>
      </c>
      <c r="I596">
        <v>2000</v>
      </c>
    </row>
    <row r="597" spans="1:9">
      <c r="A597" s="2">
        <v>596</v>
      </c>
      <c r="B597" s="1">
        <v>44964</v>
      </c>
      <c r="C597" t="s">
        <v>609</v>
      </c>
      <c r="D597" t="s">
        <v>13</v>
      </c>
      <c r="E597">
        <v>64</v>
      </c>
      <c r="F597" s="2" t="s">
        <v>16</v>
      </c>
      <c r="G597">
        <v>1</v>
      </c>
      <c r="H597">
        <v>300</v>
      </c>
      <c r="I597">
        <v>300</v>
      </c>
    </row>
    <row r="598" spans="1:9">
      <c r="A598" s="2">
        <v>597</v>
      </c>
      <c r="B598" s="1">
        <v>45160</v>
      </c>
      <c r="C598" t="s">
        <v>610</v>
      </c>
      <c r="D598" t="s">
        <v>10</v>
      </c>
      <c r="E598">
        <v>22</v>
      </c>
      <c r="F598" s="2" t="s">
        <v>11</v>
      </c>
      <c r="G598">
        <v>4</v>
      </c>
      <c r="H598">
        <v>300</v>
      </c>
      <c r="I598">
        <v>1200</v>
      </c>
    </row>
    <row r="599" spans="1:9">
      <c r="A599" s="2">
        <v>598</v>
      </c>
      <c r="B599" s="1">
        <v>45139</v>
      </c>
      <c r="C599" t="s">
        <v>611</v>
      </c>
      <c r="D599" t="s">
        <v>10</v>
      </c>
      <c r="E599">
        <v>37</v>
      </c>
      <c r="F599" s="2" t="s">
        <v>11</v>
      </c>
      <c r="G599">
        <v>4</v>
      </c>
      <c r="H599">
        <v>30</v>
      </c>
      <c r="I599">
        <v>120</v>
      </c>
    </row>
    <row r="600" spans="1:9">
      <c r="A600" s="2">
        <v>599</v>
      </c>
      <c r="B600" s="1">
        <v>45249</v>
      </c>
      <c r="C600" t="s">
        <v>612</v>
      </c>
      <c r="D600" t="s">
        <v>13</v>
      </c>
      <c r="E600">
        <v>28</v>
      </c>
      <c r="F600" s="2" t="s">
        <v>11</v>
      </c>
      <c r="G600">
        <v>2</v>
      </c>
      <c r="H600">
        <v>50</v>
      </c>
      <c r="I600">
        <v>100</v>
      </c>
    </row>
    <row r="601" spans="1:9">
      <c r="A601" s="2">
        <v>600</v>
      </c>
      <c r="B601" s="1">
        <v>45221</v>
      </c>
      <c r="C601" t="s">
        <v>613</v>
      </c>
      <c r="D601" t="s">
        <v>13</v>
      </c>
      <c r="E601">
        <v>59</v>
      </c>
      <c r="F601" s="2" t="s">
        <v>11</v>
      </c>
      <c r="G601">
        <v>2</v>
      </c>
      <c r="H601">
        <v>500</v>
      </c>
      <c r="I601">
        <v>1000</v>
      </c>
    </row>
    <row r="602" spans="1:9">
      <c r="A602" s="2">
        <v>601</v>
      </c>
      <c r="B602" s="1">
        <v>45026</v>
      </c>
      <c r="C602" t="s">
        <v>614</v>
      </c>
      <c r="D602" t="s">
        <v>10</v>
      </c>
      <c r="E602">
        <v>19</v>
      </c>
      <c r="F602" s="2" t="s">
        <v>14</v>
      </c>
      <c r="G602">
        <v>1</v>
      </c>
      <c r="H602">
        <v>30</v>
      </c>
      <c r="I602">
        <v>30</v>
      </c>
    </row>
    <row r="603" spans="1:9">
      <c r="A603" s="2">
        <v>602</v>
      </c>
      <c r="B603" s="1">
        <v>45283</v>
      </c>
      <c r="C603" t="s">
        <v>615</v>
      </c>
      <c r="D603" t="s">
        <v>13</v>
      </c>
      <c r="E603">
        <v>20</v>
      </c>
      <c r="F603" s="2" t="s">
        <v>16</v>
      </c>
      <c r="G603">
        <v>1</v>
      </c>
      <c r="H603">
        <v>300</v>
      </c>
      <c r="I603">
        <v>300</v>
      </c>
    </row>
    <row r="604" spans="1:9">
      <c r="A604" s="2">
        <v>603</v>
      </c>
      <c r="B604" s="1">
        <v>45123</v>
      </c>
      <c r="C604" t="s">
        <v>616</v>
      </c>
      <c r="D604" t="s">
        <v>13</v>
      </c>
      <c r="E604">
        <v>40</v>
      </c>
      <c r="F604" s="2" t="s">
        <v>14</v>
      </c>
      <c r="G604">
        <v>3</v>
      </c>
      <c r="H604">
        <v>30</v>
      </c>
      <c r="I604">
        <v>90</v>
      </c>
    </row>
    <row r="605" spans="1:9">
      <c r="A605" s="2">
        <v>604</v>
      </c>
      <c r="B605" s="1">
        <v>45180</v>
      </c>
      <c r="C605" t="s">
        <v>617</v>
      </c>
      <c r="D605" t="s">
        <v>13</v>
      </c>
      <c r="E605">
        <v>29</v>
      </c>
      <c r="F605" s="2" t="s">
        <v>16</v>
      </c>
      <c r="G605">
        <v>4</v>
      </c>
      <c r="H605">
        <v>50</v>
      </c>
      <c r="I605">
        <v>200</v>
      </c>
    </row>
    <row r="606" spans="1:9">
      <c r="A606" s="2">
        <v>605</v>
      </c>
      <c r="B606" s="1">
        <v>45131</v>
      </c>
      <c r="C606" t="s">
        <v>618</v>
      </c>
      <c r="D606" t="s">
        <v>10</v>
      </c>
      <c r="E606">
        <v>37</v>
      </c>
      <c r="F606" s="2" t="s">
        <v>16</v>
      </c>
      <c r="G606">
        <v>2</v>
      </c>
      <c r="H606">
        <v>500</v>
      </c>
      <c r="I606">
        <v>1000</v>
      </c>
    </row>
    <row r="607" spans="1:9">
      <c r="A607" s="2">
        <v>606</v>
      </c>
      <c r="B607" s="1">
        <v>45051</v>
      </c>
      <c r="C607" t="s">
        <v>619</v>
      </c>
      <c r="D607" t="s">
        <v>10</v>
      </c>
      <c r="E607">
        <v>22</v>
      </c>
      <c r="F607" s="2" t="s">
        <v>16</v>
      </c>
      <c r="G607">
        <v>1</v>
      </c>
      <c r="H607">
        <v>50</v>
      </c>
      <c r="I607">
        <v>50</v>
      </c>
    </row>
    <row r="608" spans="1:9">
      <c r="A608" s="2">
        <v>607</v>
      </c>
      <c r="B608" s="1">
        <v>45002</v>
      </c>
      <c r="C608" t="s">
        <v>620</v>
      </c>
      <c r="D608" t="s">
        <v>10</v>
      </c>
      <c r="E608">
        <v>54</v>
      </c>
      <c r="F608" s="2" t="s">
        <v>14</v>
      </c>
      <c r="G608">
        <v>3</v>
      </c>
      <c r="H608">
        <v>25</v>
      </c>
      <c r="I608">
        <v>75</v>
      </c>
    </row>
    <row r="609" spans="1:9">
      <c r="A609" s="2">
        <v>608</v>
      </c>
      <c r="B609" s="1">
        <v>45262</v>
      </c>
      <c r="C609" t="s">
        <v>621</v>
      </c>
      <c r="D609" t="s">
        <v>13</v>
      </c>
      <c r="E609">
        <v>55</v>
      </c>
      <c r="F609" s="2" t="s">
        <v>16</v>
      </c>
      <c r="G609">
        <v>3</v>
      </c>
      <c r="H609">
        <v>500</v>
      </c>
      <c r="I609">
        <v>1500</v>
      </c>
    </row>
    <row r="610" spans="1:9">
      <c r="A610" s="2">
        <v>609</v>
      </c>
      <c r="B610" s="1">
        <v>45279</v>
      </c>
      <c r="C610" t="s">
        <v>622</v>
      </c>
      <c r="D610" t="s">
        <v>13</v>
      </c>
      <c r="E610">
        <v>47</v>
      </c>
      <c r="F610" s="2" t="s">
        <v>14</v>
      </c>
      <c r="G610">
        <v>2</v>
      </c>
      <c r="H610">
        <v>50</v>
      </c>
      <c r="I610">
        <v>100</v>
      </c>
    </row>
    <row r="611" spans="1:9">
      <c r="A611" s="2">
        <v>610</v>
      </c>
      <c r="B611" s="1">
        <v>44929</v>
      </c>
      <c r="C611" t="s">
        <v>623</v>
      </c>
      <c r="D611" t="s">
        <v>13</v>
      </c>
      <c r="E611">
        <v>26</v>
      </c>
      <c r="F611" s="2" t="s">
        <v>11</v>
      </c>
      <c r="G611">
        <v>2</v>
      </c>
      <c r="H611">
        <v>300</v>
      </c>
      <c r="I611">
        <v>600</v>
      </c>
    </row>
    <row r="612" spans="1:9">
      <c r="A612" s="2">
        <v>611</v>
      </c>
      <c r="B612" s="1">
        <v>44981</v>
      </c>
      <c r="C612" t="s">
        <v>624</v>
      </c>
      <c r="D612" t="s">
        <v>10</v>
      </c>
      <c r="E612">
        <v>51</v>
      </c>
      <c r="F612" s="2" t="s">
        <v>11</v>
      </c>
      <c r="G612">
        <v>3</v>
      </c>
      <c r="H612">
        <v>500</v>
      </c>
      <c r="I612">
        <v>1500</v>
      </c>
    </row>
    <row r="613" spans="1:9">
      <c r="A613" s="2">
        <v>612</v>
      </c>
      <c r="B613" s="1">
        <v>45144</v>
      </c>
      <c r="C613" t="s">
        <v>625</v>
      </c>
      <c r="D613" t="s">
        <v>13</v>
      </c>
      <c r="E613">
        <v>61</v>
      </c>
      <c r="F613" s="2" t="s">
        <v>16</v>
      </c>
      <c r="G613">
        <v>1</v>
      </c>
      <c r="H613">
        <v>500</v>
      </c>
      <c r="I613">
        <v>500</v>
      </c>
    </row>
    <row r="614" spans="1:9">
      <c r="A614" s="2">
        <v>613</v>
      </c>
      <c r="B614" s="1">
        <v>45039</v>
      </c>
      <c r="C614" t="s">
        <v>626</v>
      </c>
      <c r="D614" t="s">
        <v>13</v>
      </c>
      <c r="E614">
        <v>52</v>
      </c>
      <c r="F614" s="2" t="s">
        <v>14</v>
      </c>
      <c r="G614">
        <v>3</v>
      </c>
      <c r="H614">
        <v>30</v>
      </c>
      <c r="I614">
        <v>90</v>
      </c>
    </row>
    <row r="615" spans="1:9">
      <c r="A615" s="2">
        <v>614</v>
      </c>
      <c r="B615" s="1">
        <v>45017</v>
      </c>
      <c r="C615" t="s">
        <v>627</v>
      </c>
      <c r="D615" t="s">
        <v>13</v>
      </c>
      <c r="E615">
        <v>39</v>
      </c>
      <c r="F615" s="2" t="s">
        <v>11</v>
      </c>
      <c r="G615">
        <v>4</v>
      </c>
      <c r="H615">
        <v>300</v>
      </c>
      <c r="I615">
        <v>1200</v>
      </c>
    </row>
    <row r="616" spans="1:9">
      <c r="A616" s="2">
        <v>615</v>
      </c>
      <c r="B616" s="1">
        <v>45283</v>
      </c>
      <c r="C616" t="s">
        <v>628</v>
      </c>
      <c r="D616" t="s">
        <v>13</v>
      </c>
      <c r="E616">
        <v>61</v>
      </c>
      <c r="F616" s="2" t="s">
        <v>14</v>
      </c>
      <c r="G616">
        <v>4</v>
      </c>
      <c r="H616">
        <v>25</v>
      </c>
      <c r="I616">
        <v>100</v>
      </c>
    </row>
    <row r="617" spans="1:9">
      <c r="A617" s="2">
        <v>616</v>
      </c>
      <c r="B617" s="1">
        <v>45192</v>
      </c>
      <c r="C617" t="s">
        <v>629</v>
      </c>
      <c r="D617" t="s">
        <v>10</v>
      </c>
      <c r="E617">
        <v>41</v>
      </c>
      <c r="F617" s="2" t="s">
        <v>14</v>
      </c>
      <c r="G617">
        <v>2</v>
      </c>
      <c r="H617">
        <v>50</v>
      </c>
      <c r="I617">
        <v>100</v>
      </c>
    </row>
    <row r="618" spans="1:9">
      <c r="A618" s="2">
        <v>617</v>
      </c>
      <c r="B618" s="1">
        <v>45164</v>
      </c>
      <c r="C618" t="s">
        <v>630</v>
      </c>
      <c r="D618" t="s">
        <v>10</v>
      </c>
      <c r="E618">
        <v>34</v>
      </c>
      <c r="F618" s="2" t="s">
        <v>16</v>
      </c>
      <c r="G618">
        <v>1</v>
      </c>
      <c r="H618">
        <v>30</v>
      </c>
      <c r="I618">
        <v>30</v>
      </c>
    </row>
    <row r="619" spans="1:9">
      <c r="A619" s="2">
        <v>618</v>
      </c>
      <c r="B619" s="1">
        <v>44952</v>
      </c>
      <c r="C619" t="s">
        <v>631</v>
      </c>
      <c r="D619" t="s">
        <v>13</v>
      </c>
      <c r="E619">
        <v>27</v>
      </c>
      <c r="F619" s="2" t="s">
        <v>11</v>
      </c>
      <c r="G619">
        <v>1</v>
      </c>
      <c r="H619">
        <v>50</v>
      </c>
      <c r="I619">
        <v>50</v>
      </c>
    </row>
    <row r="620" spans="1:9">
      <c r="A620" s="2">
        <v>619</v>
      </c>
      <c r="B620" s="1">
        <v>45212</v>
      </c>
      <c r="C620" t="s">
        <v>632</v>
      </c>
      <c r="D620" t="s">
        <v>10</v>
      </c>
      <c r="E620">
        <v>47</v>
      </c>
      <c r="F620" s="2" t="s">
        <v>16</v>
      </c>
      <c r="G620">
        <v>4</v>
      </c>
      <c r="H620">
        <v>25</v>
      </c>
      <c r="I620">
        <v>100</v>
      </c>
    </row>
    <row r="621" spans="1:9">
      <c r="A621" s="2">
        <v>620</v>
      </c>
      <c r="B621" s="1">
        <v>45054</v>
      </c>
      <c r="C621" t="s">
        <v>633</v>
      </c>
      <c r="D621" t="s">
        <v>10</v>
      </c>
      <c r="E621">
        <v>63</v>
      </c>
      <c r="F621" s="2" t="s">
        <v>16</v>
      </c>
      <c r="G621">
        <v>3</v>
      </c>
      <c r="H621">
        <v>25</v>
      </c>
      <c r="I621">
        <v>75</v>
      </c>
    </row>
    <row r="622" spans="1:9">
      <c r="A622" s="2">
        <v>621</v>
      </c>
      <c r="B622" s="1">
        <v>44989</v>
      </c>
      <c r="C622" t="s">
        <v>634</v>
      </c>
      <c r="D622" t="s">
        <v>13</v>
      </c>
      <c r="E622">
        <v>40</v>
      </c>
      <c r="F622" s="2" t="s">
        <v>11</v>
      </c>
      <c r="G622">
        <v>2</v>
      </c>
      <c r="H622">
        <v>500</v>
      </c>
      <c r="I622">
        <v>1000</v>
      </c>
    </row>
    <row r="623" spans="1:9">
      <c r="A623" s="2">
        <v>622</v>
      </c>
      <c r="B623" s="1">
        <v>45160</v>
      </c>
      <c r="C623" t="s">
        <v>635</v>
      </c>
      <c r="D623" t="s">
        <v>13</v>
      </c>
      <c r="E623">
        <v>49</v>
      </c>
      <c r="F623" s="2" t="s">
        <v>11</v>
      </c>
      <c r="G623">
        <v>3</v>
      </c>
      <c r="H623">
        <v>25</v>
      </c>
      <c r="I623">
        <v>75</v>
      </c>
    </row>
    <row r="624" spans="1:9">
      <c r="A624" s="2">
        <v>623</v>
      </c>
      <c r="B624" s="1">
        <v>44995</v>
      </c>
      <c r="C624" t="s">
        <v>636</v>
      </c>
      <c r="D624" t="s">
        <v>10</v>
      </c>
      <c r="E624">
        <v>34</v>
      </c>
      <c r="F624" s="2" t="s">
        <v>14</v>
      </c>
      <c r="G624">
        <v>3</v>
      </c>
      <c r="H624">
        <v>50</v>
      </c>
      <c r="I624">
        <v>150</v>
      </c>
    </row>
    <row r="625" spans="1:9">
      <c r="A625" s="2">
        <v>624</v>
      </c>
      <c r="B625" s="1">
        <v>45164</v>
      </c>
      <c r="C625" t="s">
        <v>637</v>
      </c>
      <c r="D625" t="s">
        <v>13</v>
      </c>
      <c r="E625">
        <v>34</v>
      </c>
      <c r="F625" s="2" t="s">
        <v>11</v>
      </c>
      <c r="G625">
        <v>3</v>
      </c>
      <c r="H625">
        <v>300</v>
      </c>
      <c r="I625">
        <v>900</v>
      </c>
    </row>
    <row r="626" spans="1:9">
      <c r="A626" s="2">
        <v>625</v>
      </c>
      <c r="B626" s="1">
        <v>45268</v>
      </c>
      <c r="C626" t="s">
        <v>638</v>
      </c>
      <c r="D626" t="s">
        <v>10</v>
      </c>
      <c r="E626">
        <v>31</v>
      </c>
      <c r="F626" s="2" t="s">
        <v>14</v>
      </c>
      <c r="G626">
        <v>1</v>
      </c>
      <c r="H626">
        <v>300</v>
      </c>
      <c r="I626">
        <v>300</v>
      </c>
    </row>
    <row r="627" spans="1:9">
      <c r="A627" s="2">
        <v>626</v>
      </c>
      <c r="B627" s="1">
        <v>45198</v>
      </c>
      <c r="C627" t="s">
        <v>639</v>
      </c>
      <c r="D627" t="s">
        <v>13</v>
      </c>
      <c r="E627">
        <v>26</v>
      </c>
      <c r="F627" s="2" t="s">
        <v>14</v>
      </c>
      <c r="G627">
        <v>4</v>
      </c>
      <c r="H627">
        <v>500</v>
      </c>
      <c r="I627">
        <v>2000</v>
      </c>
    </row>
    <row r="628" spans="1:9">
      <c r="A628" s="2">
        <v>627</v>
      </c>
      <c r="B628" s="1">
        <v>45213</v>
      </c>
      <c r="C628" t="s">
        <v>640</v>
      </c>
      <c r="D628" t="s">
        <v>10</v>
      </c>
      <c r="E628">
        <v>57</v>
      </c>
      <c r="F628" s="2" t="s">
        <v>14</v>
      </c>
      <c r="G628">
        <v>1</v>
      </c>
      <c r="H628">
        <v>50</v>
      </c>
      <c r="I628">
        <v>50</v>
      </c>
    </row>
    <row r="629" spans="1:9">
      <c r="A629" s="2">
        <v>628</v>
      </c>
      <c r="B629" s="1">
        <v>45231</v>
      </c>
      <c r="C629" t="s">
        <v>641</v>
      </c>
      <c r="D629" t="s">
        <v>13</v>
      </c>
      <c r="E629">
        <v>19</v>
      </c>
      <c r="F629" s="2" t="s">
        <v>11</v>
      </c>
      <c r="G629">
        <v>4</v>
      </c>
      <c r="H629">
        <v>50</v>
      </c>
      <c r="I629">
        <v>200</v>
      </c>
    </row>
    <row r="630" spans="1:9">
      <c r="A630" s="2">
        <v>629</v>
      </c>
      <c r="B630" s="1">
        <v>45089</v>
      </c>
      <c r="C630" t="s">
        <v>642</v>
      </c>
      <c r="D630" t="s">
        <v>10</v>
      </c>
      <c r="E630">
        <v>62</v>
      </c>
      <c r="F630" s="2" t="s">
        <v>16</v>
      </c>
      <c r="G630">
        <v>2</v>
      </c>
      <c r="H630">
        <v>25</v>
      </c>
      <c r="I630">
        <v>50</v>
      </c>
    </row>
    <row r="631" spans="1:9">
      <c r="A631" s="2">
        <v>630</v>
      </c>
      <c r="B631" s="1">
        <v>45153</v>
      </c>
      <c r="C631" t="s">
        <v>643</v>
      </c>
      <c r="D631" t="s">
        <v>10</v>
      </c>
      <c r="E631">
        <v>42</v>
      </c>
      <c r="F631" s="2" t="s">
        <v>14</v>
      </c>
      <c r="G631">
        <v>2</v>
      </c>
      <c r="H631">
        <v>50</v>
      </c>
      <c r="I631">
        <v>100</v>
      </c>
    </row>
    <row r="632" spans="1:9">
      <c r="A632" s="2">
        <v>631</v>
      </c>
      <c r="B632" s="1">
        <v>45240</v>
      </c>
      <c r="C632" t="s">
        <v>644</v>
      </c>
      <c r="D632" t="s">
        <v>10</v>
      </c>
      <c r="E632">
        <v>56</v>
      </c>
      <c r="F632" s="2" t="s">
        <v>16</v>
      </c>
      <c r="G632">
        <v>3</v>
      </c>
      <c r="H632">
        <v>30</v>
      </c>
      <c r="I632">
        <v>90</v>
      </c>
    </row>
    <row r="633" spans="1:9">
      <c r="A633" s="2">
        <v>632</v>
      </c>
      <c r="B633" s="1">
        <v>45185</v>
      </c>
      <c r="C633" t="s">
        <v>645</v>
      </c>
      <c r="D633" t="s">
        <v>13</v>
      </c>
      <c r="E633">
        <v>26</v>
      </c>
      <c r="F633" s="2" t="s">
        <v>16</v>
      </c>
      <c r="G633">
        <v>4</v>
      </c>
      <c r="H633">
        <v>25</v>
      </c>
      <c r="I633">
        <v>100</v>
      </c>
    </row>
    <row r="634" spans="1:9">
      <c r="A634" s="2">
        <v>633</v>
      </c>
      <c r="B634" s="1">
        <v>45145</v>
      </c>
      <c r="C634" t="s">
        <v>646</v>
      </c>
      <c r="D634" t="s">
        <v>10</v>
      </c>
      <c r="E634">
        <v>39</v>
      </c>
      <c r="F634" s="2" t="s">
        <v>11</v>
      </c>
      <c r="G634">
        <v>4</v>
      </c>
      <c r="H634">
        <v>30</v>
      </c>
      <c r="I634">
        <v>120</v>
      </c>
    </row>
    <row r="635" spans="1:9">
      <c r="A635" s="2">
        <v>634</v>
      </c>
      <c r="B635" s="1">
        <v>45207</v>
      </c>
      <c r="C635" t="s">
        <v>647</v>
      </c>
      <c r="D635" t="s">
        <v>10</v>
      </c>
      <c r="E635">
        <v>60</v>
      </c>
      <c r="F635" s="2" t="s">
        <v>16</v>
      </c>
      <c r="G635">
        <v>4</v>
      </c>
      <c r="H635">
        <v>500</v>
      </c>
      <c r="I635">
        <v>2000</v>
      </c>
    </row>
    <row r="636" spans="1:9">
      <c r="A636" s="2">
        <v>635</v>
      </c>
      <c r="B636" s="1">
        <v>45155</v>
      </c>
      <c r="C636" t="s">
        <v>648</v>
      </c>
      <c r="D636" t="s">
        <v>13</v>
      </c>
      <c r="E636">
        <v>63</v>
      </c>
      <c r="F636" s="2" t="s">
        <v>16</v>
      </c>
      <c r="G636">
        <v>3</v>
      </c>
      <c r="H636">
        <v>300</v>
      </c>
      <c r="I636">
        <v>900</v>
      </c>
    </row>
    <row r="637" spans="1:9">
      <c r="A637" s="2">
        <v>636</v>
      </c>
      <c r="B637" s="1">
        <v>45008</v>
      </c>
      <c r="C637" t="s">
        <v>649</v>
      </c>
      <c r="D637" t="s">
        <v>13</v>
      </c>
      <c r="E637">
        <v>21</v>
      </c>
      <c r="F637" s="2" t="s">
        <v>11</v>
      </c>
      <c r="G637">
        <v>3</v>
      </c>
      <c r="H637">
        <v>500</v>
      </c>
      <c r="I637">
        <v>1500</v>
      </c>
    </row>
    <row r="638" spans="1:9">
      <c r="A638" s="2">
        <v>637</v>
      </c>
      <c r="B638" s="1">
        <v>45170</v>
      </c>
      <c r="C638" t="s">
        <v>650</v>
      </c>
      <c r="D638" t="s">
        <v>10</v>
      </c>
      <c r="E638">
        <v>43</v>
      </c>
      <c r="F638" s="2" t="s">
        <v>14</v>
      </c>
      <c r="G638">
        <v>2</v>
      </c>
      <c r="H638">
        <v>300</v>
      </c>
      <c r="I638">
        <v>600</v>
      </c>
    </row>
    <row r="639" spans="1:9">
      <c r="A639" s="2">
        <v>638</v>
      </c>
      <c r="B639" s="1">
        <v>45157</v>
      </c>
      <c r="C639" t="s">
        <v>651</v>
      </c>
      <c r="D639" t="s">
        <v>10</v>
      </c>
      <c r="E639">
        <v>46</v>
      </c>
      <c r="F639" s="2" t="s">
        <v>16</v>
      </c>
      <c r="G639">
        <v>1</v>
      </c>
      <c r="H639">
        <v>500</v>
      </c>
      <c r="I639">
        <v>500</v>
      </c>
    </row>
    <row r="640" spans="1:9">
      <c r="A640" s="2">
        <v>639</v>
      </c>
      <c r="B640" s="1">
        <v>45059</v>
      </c>
      <c r="C640" t="s">
        <v>652</v>
      </c>
      <c r="D640" t="s">
        <v>13</v>
      </c>
      <c r="E640">
        <v>62</v>
      </c>
      <c r="F640" s="2" t="s">
        <v>11</v>
      </c>
      <c r="G640">
        <v>4</v>
      </c>
      <c r="H640">
        <v>50</v>
      </c>
      <c r="I640">
        <v>200</v>
      </c>
    </row>
    <row r="641" spans="1:9">
      <c r="A641" s="2">
        <v>640</v>
      </c>
      <c r="B641" s="1">
        <v>45053</v>
      </c>
      <c r="C641" t="s">
        <v>653</v>
      </c>
      <c r="D641" t="s">
        <v>13</v>
      </c>
      <c r="E641">
        <v>51</v>
      </c>
      <c r="F641" s="2" t="s">
        <v>16</v>
      </c>
      <c r="G641">
        <v>4</v>
      </c>
      <c r="H641">
        <v>30</v>
      </c>
      <c r="I641">
        <v>120</v>
      </c>
    </row>
    <row r="642" spans="1:9">
      <c r="A642" s="2">
        <v>641</v>
      </c>
      <c r="B642" s="1">
        <v>45253</v>
      </c>
      <c r="C642" t="s">
        <v>654</v>
      </c>
      <c r="D642" t="s">
        <v>13</v>
      </c>
      <c r="E642">
        <v>40</v>
      </c>
      <c r="F642" s="2" t="s">
        <v>16</v>
      </c>
      <c r="G642">
        <v>1</v>
      </c>
      <c r="H642">
        <v>300</v>
      </c>
      <c r="I642">
        <v>300</v>
      </c>
    </row>
    <row r="643" spans="1:9">
      <c r="A643" s="2">
        <v>642</v>
      </c>
      <c r="B643" s="1">
        <v>45068</v>
      </c>
      <c r="C643" t="s">
        <v>655</v>
      </c>
      <c r="D643" t="s">
        <v>13</v>
      </c>
      <c r="E643">
        <v>54</v>
      </c>
      <c r="F643" s="2" t="s">
        <v>14</v>
      </c>
      <c r="G643">
        <v>4</v>
      </c>
      <c r="H643">
        <v>25</v>
      </c>
      <c r="I643">
        <v>100</v>
      </c>
    </row>
    <row r="644" spans="1:9">
      <c r="A644" s="2">
        <v>643</v>
      </c>
      <c r="B644" s="1">
        <v>45193</v>
      </c>
      <c r="C644" t="s">
        <v>656</v>
      </c>
      <c r="D644" t="s">
        <v>13</v>
      </c>
      <c r="E644">
        <v>28</v>
      </c>
      <c r="F644" s="2" t="s">
        <v>16</v>
      </c>
      <c r="G644">
        <v>3</v>
      </c>
      <c r="H644">
        <v>30</v>
      </c>
      <c r="I644">
        <v>90</v>
      </c>
    </row>
    <row r="645" spans="1:9">
      <c r="A645" s="2">
        <v>644</v>
      </c>
      <c r="B645" s="1">
        <v>45175</v>
      </c>
      <c r="C645" t="s">
        <v>657</v>
      </c>
      <c r="D645" t="s">
        <v>10</v>
      </c>
      <c r="E645">
        <v>23</v>
      </c>
      <c r="F645" s="2" t="s">
        <v>11</v>
      </c>
      <c r="G645">
        <v>3</v>
      </c>
      <c r="H645">
        <v>25</v>
      </c>
      <c r="I645">
        <v>75</v>
      </c>
    </row>
    <row r="646" spans="1:9">
      <c r="A646" s="2">
        <v>645</v>
      </c>
      <c r="B646" s="1">
        <v>45247</v>
      </c>
      <c r="C646" t="s">
        <v>658</v>
      </c>
      <c r="D646" t="s">
        <v>13</v>
      </c>
      <c r="E646">
        <v>35</v>
      </c>
      <c r="F646" s="2" t="s">
        <v>16</v>
      </c>
      <c r="G646">
        <v>4</v>
      </c>
      <c r="H646">
        <v>30</v>
      </c>
      <c r="I646">
        <v>120</v>
      </c>
    </row>
    <row r="647" spans="1:9">
      <c r="A647" s="2">
        <v>646</v>
      </c>
      <c r="B647" s="1">
        <v>45049</v>
      </c>
      <c r="C647" t="s">
        <v>659</v>
      </c>
      <c r="D647" t="s">
        <v>10</v>
      </c>
      <c r="E647">
        <v>38</v>
      </c>
      <c r="F647" s="2" t="s">
        <v>14</v>
      </c>
      <c r="G647">
        <v>3</v>
      </c>
      <c r="H647">
        <v>30</v>
      </c>
      <c r="I647">
        <v>90</v>
      </c>
    </row>
    <row r="648" spans="1:9">
      <c r="A648" s="2">
        <v>647</v>
      </c>
      <c r="B648" s="1">
        <v>45067</v>
      </c>
      <c r="C648" t="s">
        <v>660</v>
      </c>
      <c r="D648" t="s">
        <v>10</v>
      </c>
      <c r="E648">
        <v>59</v>
      </c>
      <c r="F648" s="2" t="s">
        <v>14</v>
      </c>
      <c r="G648">
        <v>3</v>
      </c>
      <c r="H648">
        <v>500</v>
      </c>
      <c r="I648">
        <v>1500</v>
      </c>
    </row>
    <row r="649" spans="1:9">
      <c r="A649" s="2">
        <v>648</v>
      </c>
      <c r="B649" s="1">
        <v>45152</v>
      </c>
      <c r="C649" t="s">
        <v>661</v>
      </c>
      <c r="D649" t="s">
        <v>10</v>
      </c>
      <c r="E649">
        <v>53</v>
      </c>
      <c r="F649" s="2" t="s">
        <v>11</v>
      </c>
      <c r="G649">
        <v>4</v>
      </c>
      <c r="H649">
        <v>300</v>
      </c>
      <c r="I649">
        <v>1200</v>
      </c>
    </row>
    <row r="650" spans="1:9">
      <c r="A650" s="2">
        <v>649</v>
      </c>
      <c r="B650" s="1">
        <v>44966</v>
      </c>
      <c r="C650" t="s">
        <v>662</v>
      </c>
      <c r="D650" t="s">
        <v>13</v>
      </c>
      <c r="E650">
        <v>58</v>
      </c>
      <c r="F650" s="2" t="s">
        <v>14</v>
      </c>
      <c r="G650">
        <v>2</v>
      </c>
      <c r="H650">
        <v>300</v>
      </c>
      <c r="I650">
        <v>600</v>
      </c>
    </row>
    <row r="651" spans="1:9">
      <c r="A651" s="2">
        <v>650</v>
      </c>
      <c r="B651" s="1">
        <v>45292</v>
      </c>
      <c r="C651" t="s">
        <v>663</v>
      </c>
      <c r="D651" t="s">
        <v>10</v>
      </c>
      <c r="E651">
        <v>55</v>
      </c>
      <c r="F651" s="2" t="s">
        <v>16</v>
      </c>
      <c r="G651">
        <v>1</v>
      </c>
      <c r="H651">
        <v>30</v>
      </c>
      <c r="I651">
        <v>30</v>
      </c>
    </row>
    <row r="652" spans="1:9">
      <c r="A652" s="2">
        <v>651</v>
      </c>
      <c r="B652" s="1">
        <v>45073</v>
      </c>
      <c r="C652" t="s">
        <v>664</v>
      </c>
      <c r="D652" t="s">
        <v>10</v>
      </c>
      <c r="E652">
        <v>51</v>
      </c>
      <c r="F652" s="2" t="s">
        <v>14</v>
      </c>
      <c r="G652">
        <v>3</v>
      </c>
      <c r="H652">
        <v>50</v>
      </c>
      <c r="I652">
        <v>150</v>
      </c>
    </row>
    <row r="653" spans="1:9">
      <c r="A653" s="2">
        <v>652</v>
      </c>
      <c r="B653" s="1">
        <v>45047</v>
      </c>
      <c r="C653" t="s">
        <v>665</v>
      </c>
      <c r="D653" t="s">
        <v>13</v>
      </c>
      <c r="E653">
        <v>34</v>
      </c>
      <c r="F653" s="2" t="s">
        <v>11</v>
      </c>
      <c r="G653">
        <v>2</v>
      </c>
      <c r="H653">
        <v>50</v>
      </c>
      <c r="I653">
        <v>100</v>
      </c>
    </row>
    <row r="654" spans="1:9">
      <c r="A654" s="2">
        <v>653</v>
      </c>
      <c r="B654" s="1">
        <v>45066</v>
      </c>
      <c r="C654" t="s">
        <v>666</v>
      </c>
      <c r="D654" t="s">
        <v>10</v>
      </c>
      <c r="E654">
        <v>54</v>
      </c>
      <c r="F654" s="2" t="s">
        <v>14</v>
      </c>
      <c r="G654">
        <v>3</v>
      </c>
      <c r="H654">
        <v>25</v>
      </c>
      <c r="I654">
        <v>75</v>
      </c>
    </row>
    <row r="655" spans="1:9">
      <c r="A655" s="2">
        <v>654</v>
      </c>
      <c r="B655" s="1">
        <v>45098</v>
      </c>
      <c r="C655" t="s">
        <v>667</v>
      </c>
      <c r="D655" t="s">
        <v>10</v>
      </c>
      <c r="E655">
        <v>42</v>
      </c>
      <c r="F655" s="2" t="s">
        <v>14</v>
      </c>
      <c r="G655">
        <v>3</v>
      </c>
      <c r="H655">
        <v>25</v>
      </c>
      <c r="I655">
        <v>75</v>
      </c>
    </row>
    <row r="656" spans="1:9">
      <c r="A656" s="2">
        <v>655</v>
      </c>
      <c r="B656" s="1">
        <v>45090</v>
      </c>
      <c r="C656" t="s">
        <v>668</v>
      </c>
      <c r="D656" t="s">
        <v>13</v>
      </c>
      <c r="E656">
        <v>55</v>
      </c>
      <c r="F656" s="2" t="s">
        <v>14</v>
      </c>
      <c r="G656">
        <v>1</v>
      </c>
      <c r="H656">
        <v>500</v>
      </c>
      <c r="I656">
        <v>500</v>
      </c>
    </row>
    <row r="657" spans="1:9">
      <c r="A657" s="2">
        <v>656</v>
      </c>
      <c r="B657" s="1">
        <v>45203</v>
      </c>
      <c r="C657" t="s">
        <v>669</v>
      </c>
      <c r="D657" t="s">
        <v>10</v>
      </c>
      <c r="E657">
        <v>29</v>
      </c>
      <c r="F657" s="2" t="s">
        <v>11</v>
      </c>
      <c r="G657">
        <v>3</v>
      </c>
      <c r="H657">
        <v>30</v>
      </c>
      <c r="I657">
        <v>90</v>
      </c>
    </row>
    <row r="658" spans="1:9">
      <c r="A658" s="2">
        <v>657</v>
      </c>
      <c r="B658" s="1">
        <v>44968</v>
      </c>
      <c r="C658" t="s">
        <v>670</v>
      </c>
      <c r="D658" t="s">
        <v>10</v>
      </c>
      <c r="E658">
        <v>40</v>
      </c>
      <c r="F658" s="2" t="s">
        <v>14</v>
      </c>
      <c r="G658">
        <v>1</v>
      </c>
      <c r="H658">
        <v>25</v>
      </c>
      <c r="I658">
        <v>25</v>
      </c>
    </row>
    <row r="659" spans="1:9">
      <c r="A659" s="2">
        <v>658</v>
      </c>
      <c r="B659" s="1">
        <v>44997</v>
      </c>
      <c r="C659" t="s">
        <v>671</v>
      </c>
      <c r="D659" t="s">
        <v>10</v>
      </c>
      <c r="E659">
        <v>59</v>
      </c>
      <c r="F659" s="2" t="s">
        <v>14</v>
      </c>
      <c r="G659">
        <v>1</v>
      </c>
      <c r="H659">
        <v>25</v>
      </c>
      <c r="I659">
        <v>25</v>
      </c>
    </row>
    <row r="660" spans="1:9">
      <c r="A660" s="2">
        <v>659</v>
      </c>
      <c r="B660" s="1">
        <v>45004</v>
      </c>
      <c r="C660" t="s">
        <v>672</v>
      </c>
      <c r="D660" t="s">
        <v>13</v>
      </c>
      <c r="E660">
        <v>39</v>
      </c>
      <c r="F660" s="2" t="s">
        <v>16</v>
      </c>
      <c r="G660">
        <v>1</v>
      </c>
      <c r="H660">
        <v>30</v>
      </c>
      <c r="I660">
        <v>30</v>
      </c>
    </row>
    <row r="661" spans="1:9">
      <c r="A661" s="2">
        <v>660</v>
      </c>
      <c r="B661" s="1">
        <v>45045</v>
      </c>
      <c r="C661" t="s">
        <v>673</v>
      </c>
      <c r="D661" t="s">
        <v>13</v>
      </c>
      <c r="E661">
        <v>38</v>
      </c>
      <c r="F661" s="2" t="s">
        <v>11</v>
      </c>
      <c r="G661">
        <v>2</v>
      </c>
      <c r="H661">
        <v>500</v>
      </c>
      <c r="I661">
        <v>1000</v>
      </c>
    </row>
    <row r="662" spans="1:9">
      <c r="A662" s="2">
        <v>661</v>
      </c>
      <c r="B662" s="1">
        <v>45123</v>
      </c>
      <c r="C662" t="s">
        <v>674</v>
      </c>
      <c r="D662" t="s">
        <v>13</v>
      </c>
      <c r="E662">
        <v>44</v>
      </c>
      <c r="F662" s="2" t="s">
        <v>14</v>
      </c>
      <c r="G662">
        <v>4</v>
      </c>
      <c r="H662">
        <v>25</v>
      </c>
      <c r="I662">
        <v>100</v>
      </c>
    </row>
    <row r="663" spans="1:9">
      <c r="A663" s="2">
        <v>662</v>
      </c>
      <c r="B663" s="1">
        <v>45282</v>
      </c>
      <c r="C663" t="s">
        <v>675</v>
      </c>
      <c r="D663" t="s">
        <v>10</v>
      </c>
      <c r="E663">
        <v>48</v>
      </c>
      <c r="F663" s="2" t="s">
        <v>11</v>
      </c>
      <c r="G663">
        <v>2</v>
      </c>
      <c r="H663">
        <v>500</v>
      </c>
      <c r="I663">
        <v>1000</v>
      </c>
    </row>
    <row r="664" spans="1:9">
      <c r="A664" s="2">
        <v>663</v>
      </c>
      <c r="B664" s="1">
        <v>45005</v>
      </c>
      <c r="C664" t="s">
        <v>676</v>
      </c>
      <c r="D664" t="s">
        <v>10</v>
      </c>
      <c r="E664">
        <v>23</v>
      </c>
      <c r="F664" s="2" t="s">
        <v>14</v>
      </c>
      <c r="G664">
        <v>4</v>
      </c>
      <c r="H664">
        <v>300</v>
      </c>
      <c r="I664">
        <v>1200</v>
      </c>
    </row>
    <row r="665" spans="1:9">
      <c r="A665" s="2">
        <v>664</v>
      </c>
      <c r="B665" s="1">
        <v>45288</v>
      </c>
      <c r="C665" t="s">
        <v>677</v>
      </c>
      <c r="D665" t="s">
        <v>13</v>
      </c>
      <c r="E665">
        <v>44</v>
      </c>
      <c r="F665" s="2" t="s">
        <v>14</v>
      </c>
      <c r="G665">
        <v>4</v>
      </c>
      <c r="H665">
        <v>500</v>
      </c>
      <c r="I665">
        <v>2000</v>
      </c>
    </row>
    <row r="666" spans="1:9">
      <c r="A666" s="2">
        <v>665</v>
      </c>
      <c r="B666" s="1">
        <v>45036</v>
      </c>
      <c r="C666" t="s">
        <v>678</v>
      </c>
      <c r="D666" t="s">
        <v>10</v>
      </c>
      <c r="E666">
        <v>57</v>
      </c>
      <c r="F666" s="2" t="s">
        <v>14</v>
      </c>
      <c r="G666">
        <v>1</v>
      </c>
      <c r="H666">
        <v>50</v>
      </c>
      <c r="I666">
        <v>50</v>
      </c>
    </row>
    <row r="667" spans="1:9">
      <c r="A667" s="2">
        <v>666</v>
      </c>
      <c r="B667" s="1">
        <v>44959</v>
      </c>
      <c r="C667" t="s">
        <v>679</v>
      </c>
      <c r="D667" t="s">
        <v>10</v>
      </c>
      <c r="E667">
        <v>51</v>
      </c>
      <c r="F667" s="2" t="s">
        <v>16</v>
      </c>
      <c r="G667">
        <v>3</v>
      </c>
      <c r="H667">
        <v>50</v>
      </c>
      <c r="I667">
        <v>150</v>
      </c>
    </row>
    <row r="668" spans="1:9">
      <c r="A668" s="2">
        <v>667</v>
      </c>
      <c r="B668" s="1">
        <v>45139</v>
      </c>
      <c r="C668" t="s">
        <v>680</v>
      </c>
      <c r="D668" t="s">
        <v>13</v>
      </c>
      <c r="E668">
        <v>29</v>
      </c>
      <c r="F668" s="2" t="s">
        <v>16</v>
      </c>
      <c r="G668">
        <v>1</v>
      </c>
      <c r="H668">
        <v>500</v>
      </c>
      <c r="I668">
        <v>500</v>
      </c>
    </row>
    <row r="669" spans="1:9">
      <c r="A669" s="2">
        <v>668</v>
      </c>
      <c r="B669" s="1">
        <v>45135</v>
      </c>
      <c r="C669" t="s">
        <v>681</v>
      </c>
      <c r="D669" t="s">
        <v>13</v>
      </c>
      <c r="E669">
        <v>62</v>
      </c>
      <c r="F669" s="2" t="s">
        <v>16</v>
      </c>
      <c r="G669">
        <v>3</v>
      </c>
      <c r="H669">
        <v>50</v>
      </c>
      <c r="I669">
        <v>150</v>
      </c>
    </row>
    <row r="670" spans="1:9">
      <c r="A670" s="2">
        <v>669</v>
      </c>
      <c r="B670" s="1">
        <v>45096</v>
      </c>
      <c r="C670" t="s">
        <v>682</v>
      </c>
      <c r="D670" t="s">
        <v>10</v>
      </c>
      <c r="E670">
        <v>24</v>
      </c>
      <c r="F670" s="2" t="s">
        <v>11</v>
      </c>
      <c r="G670">
        <v>4</v>
      </c>
      <c r="H670">
        <v>300</v>
      </c>
      <c r="I670">
        <v>1200</v>
      </c>
    </row>
    <row r="671" spans="1:9">
      <c r="A671" s="2">
        <v>670</v>
      </c>
      <c r="B671" s="1">
        <v>45204</v>
      </c>
      <c r="C671" t="s">
        <v>683</v>
      </c>
      <c r="D671" t="s">
        <v>10</v>
      </c>
      <c r="E671">
        <v>27</v>
      </c>
      <c r="F671" s="2" t="s">
        <v>11</v>
      </c>
      <c r="G671">
        <v>1</v>
      </c>
      <c r="H671">
        <v>30</v>
      </c>
      <c r="I671">
        <v>30</v>
      </c>
    </row>
    <row r="672" spans="1:9">
      <c r="A672" s="2">
        <v>671</v>
      </c>
      <c r="B672" s="1">
        <v>45165</v>
      </c>
      <c r="C672" t="s">
        <v>684</v>
      </c>
      <c r="D672" t="s">
        <v>10</v>
      </c>
      <c r="E672">
        <v>62</v>
      </c>
      <c r="F672" s="2" t="s">
        <v>16</v>
      </c>
      <c r="G672">
        <v>3</v>
      </c>
      <c r="H672">
        <v>50</v>
      </c>
      <c r="I672">
        <v>150</v>
      </c>
    </row>
    <row r="673" spans="1:9">
      <c r="A673" s="2">
        <v>672</v>
      </c>
      <c r="B673" s="1">
        <v>45139</v>
      </c>
      <c r="C673" t="s">
        <v>685</v>
      </c>
      <c r="D673" t="s">
        <v>13</v>
      </c>
      <c r="E673">
        <v>34</v>
      </c>
      <c r="F673" s="2" t="s">
        <v>11</v>
      </c>
      <c r="G673">
        <v>2</v>
      </c>
      <c r="H673">
        <v>50</v>
      </c>
      <c r="I673">
        <v>100</v>
      </c>
    </row>
    <row r="674" spans="1:9">
      <c r="A674" s="2">
        <v>673</v>
      </c>
      <c r="B674" s="1">
        <v>44958</v>
      </c>
      <c r="C674" t="s">
        <v>686</v>
      </c>
      <c r="D674" t="s">
        <v>13</v>
      </c>
      <c r="E674">
        <v>43</v>
      </c>
      <c r="F674" s="2" t="s">
        <v>14</v>
      </c>
      <c r="G674">
        <v>3</v>
      </c>
      <c r="H674">
        <v>500</v>
      </c>
      <c r="I674">
        <v>1500</v>
      </c>
    </row>
    <row r="675" spans="1:9">
      <c r="A675" s="2">
        <v>674</v>
      </c>
      <c r="B675" s="1">
        <v>45032</v>
      </c>
      <c r="C675" t="s">
        <v>687</v>
      </c>
      <c r="D675" t="s">
        <v>13</v>
      </c>
      <c r="E675">
        <v>38</v>
      </c>
      <c r="F675" s="2" t="s">
        <v>14</v>
      </c>
      <c r="G675">
        <v>1</v>
      </c>
      <c r="H675">
        <v>300</v>
      </c>
      <c r="I675">
        <v>300</v>
      </c>
    </row>
    <row r="676" spans="1:9">
      <c r="A676" s="2">
        <v>675</v>
      </c>
      <c r="B676" s="1">
        <v>45142</v>
      </c>
      <c r="C676" t="s">
        <v>688</v>
      </c>
      <c r="D676" t="s">
        <v>13</v>
      </c>
      <c r="E676">
        <v>45</v>
      </c>
      <c r="F676" s="2" t="s">
        <v>14</v>
      </c>
      <c r="G676">
        <v>2</v>
      </c>
      <c r="H676">
        <v>30</v>
      </c>
      <c r="I676">
        <v>60</v>
      </c>
    </row>
    <row r="677" spans="1:9">
      <c r="A677" s="2">
        <v>676</v>
      </c>
      <c r="B677" s="1">
        <v>45126</v>
      </c>
      <c r="C677" t="s">
        <v>689</v>
      </c>
      <c r="D677" t="s">
        <v>10</v>
      </c>
      <c r="E677">
        <v>63</v>
      </c>
      <c r="F677" s="2" t="s">
        <v>16</v>
      </c>
      <c r="G677">
        <v>3</v>
      </c>
      <c r="H677">
        <v>500</v>
      </c>
      <c r="I677">
        <v>1500</v>
      </c>
    </row>
    <row r="678" spans="1:9">
      <c r="A678" s="2">
        <v>677</v>
      </c>
      <c r="B678" s="1">
        <v>45226</v>
      </c>
      <c r="C678" t="s">
        <v>690</v>
      </c>
      <c r="D678" t="s">
        <v>13</v>
      </c>
      <c r="E678">
        <v>19</v>
      </c>
      <c r="F678" s="2" t="s">
        <v>11</v>
      </c>
      <c r="G678">
        <v>3</v>
      </c>
      <c r="H678">
        <v>500</v>
      </c>
      <c r="I678">
        <v>1500</v>
      </c>
    </row>
    <row r="679" spans="1:9">
      <c r="A679" s="2">
        <v>678</v>
      </c>
      <c r="B679" s="1">
        <v>45283</v>
      </c>
      <c r="C679" t="s">
        <v>691</v>
      </c>
      <c r="D679" t="s">
        <v>13</v>
      </c>
      <c r="E679">
        <v>60</v>
      </c>
      <c r="F679" s="2" t="s">
        <v>16</v>
      </c>
      <c r="G679">
        <v>3</v>
      </c>
      <c r="H679">
        <v>300</v>
      </c>
      <c r="I679">
        <v>900</v>
      </c>
    </row>
    <row r="680" spans="1:9">
      <c r="A680" s="2">
        <v>679</v>
      </c>
      <c r="B680" s="1">
        <v>44937</v>
      </c>
      <c r="C680" t="s">
        <v>692</v>
      </c>
      <c r="D680" t="s">
        <v>13</v>
      </c>
      <c r="E680">
        <v>18</v>
      </c>
      <c r="F680" s="2" t="s">
        <v>11</v>
      </c>
      <c r="G680">
        <v>3</v>
      </c>
      <c r="H680">
        <v>30</v>
      </c>
      <c r="I680">
        <v>90</v>
      </c>
    </row>
    <row r="681" spans="1:9">
      <c r="A681" s="2">
        <v>680</v>
      </c>
      <c r="B681" s="1">
        <v>45221</v>
      </c>
      <c r="C681" t="s">
        <v>693</v>
      </c>
      <c r="D681" t="s">
        <v>13</v>
      </c>
      <c r="E681">
        <v>53</v>
      </c>
      <c r="F681" s="2" t="s">
        <v>14</v>
      </c>
      <c r="G681">
        <v>3</v>
      </c>
      <c r="H681">
        <v>300</v>
      </c>
      <c r="I681">
        <v>900</v>
      </c>
    </row>
    <row r="682" spans="1:9">
      <c r="A682" s="2">
        <v>681</v>
      </c>
      <c r="B682" s="1">
        <v>45121</v>
      </c>
      <c r="C682" t="s">
        <v>694</v>
      </c>
      <c r="D682" t="s">
        <v>13</v>
      </c>
      <c r="E682">
        <v>43</v>
      </c>
      <c r="F682" s="2" t="s">
        <v>16</v>
      </c>
      <c r="G682">
        <v>2</v>
      </c>
      <c r="H682">
        <v>30</v>
      </c>
      <c r="I682">
        <v>60</v>
      </c>
    </row>
    <row r="683" spans="1:9">
      <c r="A683" s="2">
        <v>682</v>
      </c>
      <c r="B683" s="1">
        <v>45171</v>
      </c>
      <c r="C683" t="s">
        <v>695</v>
      </c>
      <c r="D683" t="s">
        <v>10</v>
      </c>
      <c r="E683">
        <v>46</v>
      </c>
      <c r="F683" s="2" t="s">
        <v>11</v>
      </c>
      <c r="G683">
        <v>4</v>
      </c>
      <c r="H683">
        <v>300</v>
      </c>
      <c r="I683">
        <v>1200</v>
      </c>
    </row>
    <row r="684" spans="1:9">
      <c r="A684" s="2">
        <v>683</v>
      </c>
      <c r="B684" s="1">
        <v>44930</v>
      </c>
      <c r="C684" t="s">
        <v>696</v>
      </c>
      <c r="D684" t="s">
        <v>10</v>
      </c>
      <c r="E684">
        <v>38</v>
      </c>
      <c r="F684" s="2" t="s">
        <v>11</v>
      </c>
      <c r="G684">
        <v>2</v>
      </c>
      <c r="H684">
        <v>500</v>
      </c>
      <c r="I684">
        <v>1000</v>
      </c>
    </row>
    <row r="685" spans="1:9">
      <c r="A685" s="2">
        <v>684</v>
      </c>
      <c r="B685" s="1">
        <v>45107</v>
      </c>
      <c r="C685" t="s">
        <v>697</v>
      </c>
      <c r="D685" t="s">
        <v>13</v>
      </c>
      <c r="E685">
        <v>28</v>
      </c>
      <c r="F685" s="2" t="s">
        <v>14</v>
      </c>
      <c r="G685">
        <v>2</v>
      </c>
      <c r="H685">
        <v>500</v>
      </c>
      <c r="I685">
        <v>1000</v>
      </c>
    </row>
    <row r="686" spans="1:9">
      <c r="A686" s="2">
        <v>685</v>
      </c>
      <c r="B686" s="1">
        <v>45079</v>
      </c>
      <c r="C686" t="s">
        <v>698</v>
      </c>
      <c r="D686" t="s">
        <v>10</v>
      </c>
      <c r="E686">
        <v>57</v>
      </c>
      <c r="F686" s="2" t="s">
        <v>16</v>
      </c>
      <c r="G686">
        <v>2</v>
      </c>
      <c r="H686">
        <v>25</v>
      </c>
      <c r="I686">
        <v>50</v>
      </c>
    </row>
    <row r="687" spans="1:9">
      <c r="A687" s="2">
        <v>686</v>
      </c>
      <c r="B687" s="1">
        <v>45126</v>
      </c>
      <c r="C687" t="s">
        <v>699</v>
      </c>
      <c r="D687" t="s">
        <v>13</v>
      </c>
      <c r="E687">
        <v>28</v>
      </c>
      <c r="F687" s="2" t="s">
        <v>16</v>
      </c>
      <c r="G687">
        <v>4</v>
      </c>
      <c r="H687">
        <v>50</v>
      </c>
      <c r="I687">
        <v>200</v>
      </c>
    </row>
    <row r="688" spans="1:9">
      <c r="A688" s="2">
        <v>687</v>
      </c>
      <c r="B688" s="1">
        <v>45141</v>
      </c>
      <c r="C688" t="s">
        <v>700</v>
      </c>
      <c r="D688" t="s">
        <v>13</v>
      </c>
      <c r="E688">
        <v>53</v>
      </c>
      <c r="F688" s="2" t="s">
        <v>16</v>
      </c>
      <c r="G688">
        <v>1</v>
      </c>
      <c r="H688">
        <v>300</v>
      </c>
      <c r="I688">
        <v>300</v>
      </c>
    </row>
    <row r="689" spans="1:9">
      <c r="A689" s="2">
        <v>688</v>
      </c>
      <c r="B689" s="1">
        <v>45202</v>
      </c>
      <c r="C689" t="s">
        <v>701</v>
      </c>
      <c r="D689" t="s">
        <v>10</v>
      </c>
      <c r="E689">
        <v>56</v>
      </c>
      <c r="F689" s="2" t="s">
        <v>14</v>
      </c>
      <c r="G689">
        <v>4</v>
      </c>
      <c r="H689">
        <v>25</v>
      </c>
      <c r="I689">
        <v>100</v>
      </c>
    </row>
    <row r="690" spans="1:9">
      <c r="A690" s="2">
        <v>689</v>
      </c>
      <c r="B690" s="1">
        <v>45206</v>
      </c>
      <c r="C690" t="s">
        <v>702</v>
      </c>
      <c r="D690" t="s">
        <v>10</v>
      </c>
      <c r="E690">
        <v>57</v>
      </c>
      <c r="F690" s="2" t="s">
        <v>16</v>
      </c>
      <c r="G690">
        <v>2</v>
      </c>
      <c r="H690">
        <v>50</v>
      </c>
      <c r="I690">
        <v>100</v>
      </c>
    </row>
    <row r="691" spans="1:9">
      <c r="A691" s="2">
        <v>690</v>
      </c>
      <c r="B691" s="1">
        <v>45235</v>
      </c>
      <c r="C691" t="s">
        <v>703</v>
      </c>
      <c r="D691" t="s">
        <v>13</v>
      </c>
      <c r="E691">
        <v>52</v>
      </c>
      <c r="F691" s="2" t="s">
        <v>14</v>
      </c>
      <c r="G691">
        <v>3</v>
      </c>
      <c r="H691">
        <v>300</v>
      </c>
      <c r="I691">
        <v>900</v>
      </c>
    </row>
    <row r="692" spans="1:9">
      <c r="A692" s="2">
        <v>691</v>
      </c>
      <c r="B692" s="1">
        <v>45039</v>
      </c>
      <c r="C692" t="s">
        <v>704</v>
      </c>
      <c r="D692" t="s">
        <v>13</v>
      </c>
      <c r="E692">
        <v>51</v>
      </c>
      <c r="F692" s="2" t="s">
        <v>14</v>
      </c>
      <c r="G692">
        <v>3</v>
      </c>
      <c r="H692">
        <v>30</v>
      </c>
      <c r="I692">
        <v>90</v>
      </c>
    </row>
    <row r="693" spans="1:9">
      <c r="A693" s="2">
        <v>692</v>
      </c>
      <c r="B693" s="1">
        <v>45176</v>
      </c>
      <c r="C693" t="s">
        <v>705</v>
      </c>
      <c r="D693" t="s">
        <v>13</v>
      </c>
      <c r="E693">
        <v>64</v>
      </c>
      <c r="F693" s="2" t="s">
        <v>14</v>
      </c>
      <c r="G693">
        <v>2</v>
      </c>
      <c r="H693">
        <v>50</v>
      </c>
      <c r="I693">
        <v>100</v>
      </c>
    </row>
    <row r="694" spans="1:9">
      <c r="A694" s="2">
        <v>693</v>
      </c>
      <c r="B694" s="1">
        <v>45039</v>
      </c>
      <c r="C694" t="s">
        <v>706</v>
      </c>
      <c r="D694" t="s">
        <v>10</v>
      </c>
      <c r="E694">
        <v>41</v>
      </c>
      <c r="F694" s="2" t="s">
        <v>11</v>
      </c>
      <c r="G694">
        <v>3</v>
      </c>
      <c r="H694">
        <v>500</v>
      </c>
      <c r="I694">
        <v>1500</v>
      </c>
    </row>
    <row r="695" spans="1:9">
      <c r="A695" s="2">
        <v>694</v>
      </c>
      <c r="B695" s="1">
        <v>45066</v>
      </c>
      <c r="C695" t="s">
        <v>707</v>
      </c>
      <c r="D695" t="s">
        <v>13</v>
      </c>
      <c r="E695">
        <v>39</v>
      </c>
      <c r="F695" s="2" t="s">
        <v>16</v>
      </c>
      <c r="G695">
        <v>2</v>
      </c>
      <c r="H695">
        <v>25</v>
      </c>
      <c r="I695">
        <v>50</v>
      </c>
    </row>
    <row r="696" spans="1:9">
      <c r="A696" s="2">
        <v>695</v>
      </c>
      <c r="B696" s="1">
        <v>45150</v>
      </c>
      <c r="C696" t="s">
        <v>708</v>
      </c>
      <c r="D696" t="s">
        <v>13</v>
      </c>
      <c r="E696">
        <v>22</v>
      </c>
      <c r="F696" s="2" t="s">
        <v>16</v>
      </c>
      <c r="G696">
        <v>3</v>
      </c>
      <c r="H696">
        <v>50</v>
      </c>
      <c r="I696">
        <v>150</v>
      </c>
    </row>
    <row r="697" spans="1:9">
      <c r="A697" s="2">
        <v>696</v>
      </c>
      <c r="B697" s="1">
        <v>45175</v>
      </c>
      <c r="C697" t="s">
        <v>709</v>
      </c>
      <c r="D697" t="s">
        <v>13</v>
      </c>
      <c r="E697">
        <v>50</v>
      </c>
      <c r="F697" s="2" t="s">
        <v>14</v>
      </c>
      <c r="G697">
        <v>4</v>
      </c>
      <c r="H697">
        <v>50</v>
      </c>
      <c r="I697">
        <v>200</v>
      </c>
    </row>
    <row r="698" spans="1:9">
      <c r="A698" s="2">
        <v>697</v>
      </c>
      <c r="B698" s="1">
        <v>44941</v>
      </c>
      <c r="C698" t="s">
        <v>710</v>
      </c>
      <c r="D698" t="s">
        <v>10</v>
      </c>
      <c r="E698">
        <v>53</v>
      </c>
      <c r="F698" s="2" t="s">
        <v>14</v>
      </c>
      <c r="G698">
        <v>1</v>
      </c>
      <c r="H698">
        <v>500</v>
      </c>
      <c r="I698">
        <v>500</v>
      </c>
    </row>
    <row r="699" spans="1:9">
      <c r="A699" s="2">
        <v>698</v>
      </c>
      <c r="B699" s="1">
        <v>45126</v>
      </c>
      <c r="C699" t="s">
        <v>711</v>
      </c>
      <c r="D699" t="s">
        <v>13</v>
      </c>
      <c r="E699">
        <v>64</v>
      </c>
      <c r="F699" s="2" t="s">
        <v>16</v>
      </c>
      <c r="G699">
        <v>1</v>
      </c>
      <c r="H699">
        <v>300</v>
      </c>
      <c r="I699">
        <v>300</v>
      </c>
    </row>
    <row r="700" spans="1:9">
      <c r="A700" s="2">
        <v>699</v>
      </c>
      <c r="B700" s="1">
        <v>45099</v>
      </c>
      <c r="C700" t="s">
        <v>712</v>
      </c>
      <c r="D700" t="s">
        <v>13</v>
      </c>
      <c r="E700">
        <v>37</v>
      </c>
      <c r="F700" s="2" t="s">
        <v>14</v>
      </c>
      <c r="G700">
        <v>4</v>
      </c>
      <c r="H700">
        <v>30</v>
      </c>
      <c r="I700">
        <v>120</v>
      </c>
    </row>
    <row r="701" spans="1:9">
      <c r="A701" s="2">
        <v>700</v>
      </c>
      <c r="B701" s="1">
        <v>45269</v>
      </c>
      <c r="C701" t="s">
        <v>713</v>
      </c>
      <c r="D701" t="s">
        <v>10</v>
      </c>
      <c r="E701">
        <v>36</v>
      </c>
      <c r="F701" s="2" t="s">
        <v>16</v>
      </c>
      <c r="G701">
        <v>4</v>
      </c>
      <c r="H701">
        <v>500</v>
      </c>
      <c r="I701">
        <v>2000</v>
      </c>
    </row>
    <row r="702" spans="1:9">
      <c r="A702" s="2">
        <v>701</v>
      </c>
      <c r="B702" s="1">
        <v>45274</v>
      </c>
      <c r="C702" t="s">
        <v>714</v>
      </c>
      <c r="D702" t="s">
        <v>13</v>
      </c>
      <c r="E702">
        <v>52</v>
      </c>
      <c r="F702" s="2" t="s">
        <v>11</v>
      </c>
      <c r="G702">
        <v>2</v>
      </c>
      <c r="H702">
        <v>30</v>
      </c>
      <c r="I702">
        <v>60</v>
      </c>
    </row>
    <row r="703" spans="1:9">
      <c r="A703" s="2">
        <v>702</v>
      </c>
      <c r="B703" s="1">
        <v>45134</v>
      </c>
      <c r="C703" t="s">
        <v>715</v>
      </c>
      <c r="D703" t="s">
        <v>13</v>
      </c>
      <c r="E703">
        <v>60</v>
      </c>
      <c r="F703" s="2" t="s">
        <v>14</v>
      </c>
      <c r="G703">
        <v>2</v>
      </c>
      <c r="H703">
        <v>300</v>
      </c>
      <c r="I703">
        <v>600</v>
      </c>
    </row>
    <row r="704" spans="1:9">
      <c r="A704" s="2">
        <v>703</v>
      </c>
      <c r="B704" s="1">
        <v>45011</v>
      </c>
      <c r="C704" t="s">
        <v>716</v>
      </c>
      <c r="D704" t="s">
        <v>10</v>
      </c>
      <c r="E704">
        <v>34</v>
      </c>
      <c r="F704" s="2" t="s">
        <v>16</v>
      </c>
      <c r="G704">
        <v>2</v>
      </c>
      <c r="H704">
        <v>50</v>
      </c>
      <c r="I704">
        <v>100</v>
      </c>
    </row>
    <row r="705" spans="1:9">
      <c r="A705" s="2">
        <v>704</v>
      </c>
      <c r="B705" s="1">
        <v>45166</v>
      </c>
      <c r="C705" t="s">
        <v>717</v>
      </c>
      <c r="D705" t="s">
        <v>13</v>
      </c>
      <c r="E705">
        <v>62</v>
      </c>
      <c r="F705" s="2" t="s">
        <v>14</v>
      </c>
      <c r="G705">
        <v>3</v>
      </c>
      <c r="H705">
        <v>30</v>
      </c>
      <c r="I705">
        <v>90</v>
      </c>
    </row>
    <row r="706" spans="1:9">
      <c r="A706" s="2">
        <v>705</v>
      </c>
      <c r="B706" s="1">
        <v>44992</v>
      </c>
      <c r="C706" t="s">
        <v>718</v>
      </c>
      <c r="D706" t="s">
        <v>10</v>
      </c>
      <c r="E706">
        <v>60</v>
      </c>
      <c r="F706" s="2" t="s">
        <v>16</v>
      </c>
      <c r="G706">
        <v>2</v>
      </c>
      <c r="H706">
        <v>25</v>
      </c>
      <c r="I706">
        <v>50</v>
      </c>
    </row>
    <row r="707" spans="1:9">
      <c r="A707" s="2">
        <v>706</v>
      </c>
      <c r="B707" s="1">
        <v>45245</v>
      </c>
      <c r="C707" t="s">
        <v>719</v>
      </c>
      <c r="D707" t="s">
        <v>10</v>
      </c>
      <c r="E707">
        <v>51</v>
      </c>
      <c r="F707" s="2" t="s">
        <v>16</v>
      </c>
      <c r="G707">
        <v>4</v>
      </c>
      <c r="H707">
        <v>25</v>
      </c>
      <c r="I707">
        <v>100</v>
      </c>
    </row>
    <row r="708" spans="1:9">
      <c r="A708" s="2">
        <v>707</v>
      </c>
      <c r="B708" s="1">
        <v>45200</v>
      </c>
      <c r="C708" t="s">
        <v>720</v>
      </c>
      <c r="D708" t="s">
        <v>13</v>
      </c>
      <c r="E708">
        <v>26</v>
      </c>
      <c r="F708" s="2" t="s">
        <v>14</v>
      </c>
      <c r="G708">
        <v>1</v>
      </c>
      <c r="H708">
        <v>500</v>
      </c>
      <c r="I708">
        <v>500</v>
      </c>
    </row>
    <row r="709" spans="1:9">
      <c r="A709" s="2">
        <v>708</v>
      </c>
      <c r="B709" s="1">
        <v>44940</v>
      </c>
      <c r="C709" t="s">
        <v>721</v>
      </c>
      <c r="D709" t="s">
        <v>13</v>
      </c>
      <c r="E709">
        <v>43</v>
      </c>
      <c r="F709" s="2" t="s">
        <v>11</v>
      </c>
      <c r="G709">
        <v>3</v>
      </c>
      <c r="H709">
        <v>300</v>
      </c>
      <c r="I709">
        <v>900</v>
      </c>
    </row>
    <row r="710" spans="1:9">
      <c r="A710" s="2">
        <v>709</v>
      </c>
      <c r="B710" s="1">
        <v>45128</v>
      </c>
      <c r="C710" t="s">
        <v>722</v>
      </c>
      <c r="D710" t="s">
        <v>13</v>
      </c>
      <c r="E710">
        <v>19</v>
      </c>
      <c r="F710" s="2" t="s">
        <v>16</v>
      </c>
      <c r="G710">
        <v>2</v>
      </c>
      <c r="H710">
        <v>500</v>
      </c>
      <c r="I710">
        <v>1000</v>
      </c>
    </row>
    <row r="711" spans="1:9">
      <c r="A711" s="2">
        <v>710</v>
      </c>
      <c r="B711" s="1">
        <v>45230</v>
      </c>
      <c r="C711" t="s">
        <v>723</v>
      </c>
      <c r="D711" t="s">
        <v>13</v>
      </c>
      <c r="E711">
        <v>26</v>
      </c>
      <c r="F711" s="2" t="s">
        <v>16</v>
      </c>
      <c r="G711">
        <v>3</v>
      </c>
      <c r="H711">
        <v>500</v>
      </c>
      <c r="I711">
        <v>1500</v>
      </c>
    </row>
    <row r="712" spans="1:9">
      <c r="A712" s="2">
        <v>711</v>
      </c>
      <c r="B712" s="1">
        <v>45215</v>
      </c>
      <c r="C712" t="s">
        <v>724</v>
      </c>
      <c r="D712" t="s">
        <v>10</v>
      </c>
      <c r="E712">
        <v>26</v>
      </c>
      <c r="F712" s="2" t="s">
        <v>16</v>
      </c>
      <c r="G712">
        <v>3</v>
      </c>
      <c r="H712">
        <v>500</v>
      </c>
      <c r="I712">
        <v>1500</v>
      </c>
    </row>
    <row r="713" spans="1:9">
      <c r="A713" s="2">
        <v>712</v>
      </c>
      <c r="B713" s="1">
        <v>45266</v>
      </c>
      <c r="C713" t="s">
        <v>725</v>
      </c>
      <c r="D713" t="s">
        <v>13</v>
      </c>
      <c r="E713">
        <v>57</v>
      </c>
      <c r="F713" s="2" t="s">
        <v>11</v>
      </c>
      <c r="G713">
        <v>2</v>
      </c>
      <c r="H713">
        <v>25</v>
      </c>
      <c r="I713">
        <v>50</v>
      </c>
    </row>
    <row r="714" spans="1:9">
      <c r="A714" s="2">
        <v>713</v>
      </c>
      <c r="B714" s="1">
        <v>44940</v>
      </c>
      <c r="C714" t="s">
        <v>726</v>
      </c>
      <c r="D714" t="s">
        <v>10</v>
      </c>
      <c r="E714">
        <v>34</v>
      </c>
      <c r="F714" s="2" t="s">
        <v>11</v>
      </c>
      <c r="G714">
        <v>3</v>
      </c>
      <c r="H714">
        <v>25</v>
      </c>
      <c r="I714">
        <v>75</v>
      </c>
    </row>
    <row r="715" spans="1:9">
      <c r="A715" s="2">
        <v>714</v>
      </c>
      <c r="B715" s="1">
        <v>44969</v>
      </c>
      <c r="C715" t="s">
        <v>727</v>
      </c>
      <c r="D715" t="s">
        <v>13</v>
      </c>
      <c r="E715">
        <v>18</v>
      </c>
      <c r="F715" s="2" t="s">
        <v>14</v>
      </c>
      <c r="G715">
        <v>1</v>
      </c>
      <c r="H715">
        <v>500</v>
      </c>
      <c r="I715">
        <v>500</v>
      </c>
    </row>
    <row r="716" spans="1:9">
      <c r="A716" s="2">
        <v>715</v>
      </c>
      <c r="B716" s="1">
        <v>45256</v>
      </c>
      <c r="C716" t="s">
        <v>728</v>
      </c>
      <c r="D716" t="s">
        <v>13</v>
      </c>
      <c r="E716">
        <v>42</v>
      </c>
      <c r="F716" s="2" t="s">
        <v>11</v>
      </c>
      <c r="G716">
        <v>4</v>
      </c>
      <c r="H716">
        <v>25</v>
      </c>
      <c r="I716">
        <v>100</v>
      </c>
    </row>
    <row r="717" spans="1:9">
      <c r="A717" s="2">
        <v>716</v>
      </c>
      <c r="B717" s="1">
        <v>45146</v>
      </c>
      <c r="C717" t="s">
        <v>729</v>
      </c>
      <c r="D717" t="s">
        <v>13</v>
      </c>
      <c r="E717">
        <v>60</v>
      </c>
      <c r="F717" s="2" t="s">
        <v>14</v>
      </c>
      <c r="G717">
        <v>4</v>
      </c>
      <c r="H717">
        <v>300</v>
      </c>
      <c r="I717">
        <v>1200</v>
      </c>
    </row>
    <row r="718" spans="1:9">
      <c r="A718" s="2">
        <v>717</v>
      </c>
      <c r="B718" s="1">
        <v>44996</v>
      </c>
      <c r="C718" t="s">
        <v>730</v>
      </c>
      <c r="D718" t="s">
        <v>10</v>
      </c>
      <c r="E718">
        <v>57</v>
      </c>
      <c r="F718" s="2" t="s">
        <v>14</v>
      </c>
      <c r="G718">
        <v>1</v>
      </c>
      <c r="H718">
        <v>500</v>
      </c>
      <c r="I718">
        <v>500</v>
      </c>
    </row>
    <row r="719" spans="1:9">
      <c r="A719" s="2">
        <v>718</v>
      </c>
      <c r="B719" s="1">
        <v>45163</v>
      </c>
      <c r="C719" t="s">
        <v>731</v>
      </c>
      <c r="D719" t="s">
        <v>13</v>
      </c>
      <c r="E719">
        <v>59</v>
      </c>
      <c r="F719" s="2" t="s">
        <v>11</v>
      </c>
      <c r="G719">
        <v>3</v>
      </c>
      <c r="H719">
        <v>25</v>
      </c>
      <c r="I719">
        <v>75</v>
      </c>
    </row>
    <row r="720" spans="1:9">
      <c r="A720" s="2">
        <v>719</v>
      </c>
      <c r="B720" s="1">
        <v>45020</v>
      </c>
      <c r="C720" t="s">
        <v>732</v>
      </c>
      <c r="D720" t="s">
        <v>13</v>
      </c>
      <c r="E720">
        <v>42</v>
      </c>
      <c r="F720" s="2" t="s">
        <v>14</v>
      </c>
      <c r="G720">
        <v>2</v>
      </c>
      <c r="H720">
        <v>30</v>
      </c>
      <c r="I720">
        <v>60</v>
      </c>
    </row>
    <row r="721" spans="1:9">
      <c r="A721" s="2">
        <v>720</v>
      </c>
      <c r="B721" s="1">
        <v>44952</v>
      </c>
      <c r="C721" t="s">
        <v>733</v>
      </c>
      <c r="D721" t="s">
        <v>13</v>
      </c>
      <c r="E721">
        <v>56</v>
      </c>
      <c r="F721" s="2" t="s">
        <v>11</v>
      </c>
      <c r="G721">
        <v>3</v>
      </c>
      <c r="H721">
        <v>500</v>
      </c>
      <c r="I721">
        <v>1500</v>
      </c>
    </row>
    <row r="722" spans="1:9">
      <c r="A722" s="2">
        <v>721</v>
      </c>
      <c r="B722" s="1">
        <v>45060</v>
      </c>
      <c r="C722" t="s">
        <v>734</v>
      </c>
      <c r="D722" t="s">
        <v>13</v>
      </c>
      <c r="E722">
        <v>52</v>
      </c>
      <c r="F722" s="2" t="s">
        <v>14</v>
      </c>
      <c r="G722">
        <v>1</v>
      </c>
      <c r="H722">
        <v>500</v>
      </c>
      <c r="I722">
        <v>500</v>
      </c>
    </row>
    <row r="723" spans="1:9">
      <c r="A723" s="2">
        <v>722</v>
      </c>
      <c r="B723" s="1">
        <v>45121</v>
      </c>
      <c r="C723" t="s">
        <v>735</v>
      </c>
      <c r="D723" t="s">
        <v>10</v>
      </c>
      <c r="E723">
        <v>20</v>
      </c>
      <c r="F723" s="2" t="s">
        <v>11</v>
      </c>
      <c r="G723">
        <v>3</v>
      </c>
      <c r="H723">
        <v>300</v>
      </c>
      <c r="I723">
        <v>900</v>
      </c>
    </row>
    <row r="724" spans="1:9">
      <c r="A724" s="2">
        <v>723</v>
      </c>
      <c r="B724" s="1">
        <v>45094</v>
      </c>
      <c r="C724" t="s">
        <v>736</v>
      </c>
      <c r="D724" t="s">
        <v>13</v>
      </c>
      <c r="E724">
        <v>54</v>
      </c>
      <c r="F724" s="2" t="s">
        <v>11</v>
      </c>
      <c r="G724">
        <v>4</v>
      </c>
      <c r="H724">
        <v>50</v>
      </c>
      <c r="I724">
        <v>200</v>
      </c>
    </row>
    <row r="725" spans="1:9">
      <c r="A725" s="2">
        <v>724</v>
      </c>
      <c r="B725" s="1">
        <v>45035</v>
      </c>
      <c r="C725" t="s">
        <v>737</v>
      </c>
      <c r="D725" t="s">
        <v>10</v>
      </c>
      <c r="E725">
        <v>61</v>
      </c>
      <c r="F725" s="2" t="s">
        <v>14</v>
      </c>
      <c r="G725">
        <v>3</v>
      </c>
      <c r="H725">
        <v>50</v>
      </c>
      <c r="I725">
        <v>150</v>
      </c>
    </row>
    <row r="726" spans="1:9">
      <c r="A726" s="2">
        <v>725</v>
      </c>
      <c r="B726" s="1">
        <v>45159</v>
      </c>
      <c r="C726" t="s">
        <v>738</v>
      </c>
      <c r="D726" t="s">
        <v>10</v>
      </c>
      <c r="E726">
        <v>61</v>
      </c>
      <c r="F726" s="2" t="s">
        <v>16</v>
      </c>
      <c r="G726">
        <v>1</v>
      </c>
      <c r="H726">
        <v>300</v>
      </c>
      <c r="I726">
        <v>300</v>
      </c>
    </row>
    <row r="727" spans="1:9">
      <c r="A727" s="2">
        <v>726</v>
      </c>
      <c r="B727" s="1">
        <v>45094</v>
      </c>
      <c r="C727" t="s">
        <v>739</v>
      </c>
      <c r="D727" t="s">
        <v>10</v>
      </c>
      <c r="E727">
        <v>47</v>
      </c>
      <c r="F727" s="2" t="s">
        <v>14</v>
      </c>
      <c r="G727">
        <v>4</v>
      </c>
      <c r="H727">
        <v>300</v>
      </c>
      <c r="I727">
        <v>1200</v>
      </c>
    </row>
    <row r="728" spans="1:9">
      <c r="A728" s="2">
        <v>727</v>
      </c>
      <c r="B728" s="1">
        <v>45099</v>
      </c>
      <c r="C728" t="s">
        <v>740</v>
      </c>
      <c r="D728" t="s">
        <v>10</v>
      </c>
      <c r="E728">
        <v>55</v>
      </c>
      <c r="F728" s="2" t="s">
        <v>11</v>
      </c>
      <c r="G728">
        <v>3</v>
      </c>
      <c r="H728">
        <v>300</v>
      </c>
      <c r="I728">
        <v>900</v>
      </c>
    </row>
    <row r="729" spans="1:9">
      <c r="A729" s="2">
        <v>728</v>
      </c>
      <c r="B729" s="1">
        <v>45121</v>
      </c>
      <c r="C729" t="s">
        <v>741</v>
      </c>
      <c r="D729" t="s">
        <v>10</v>
      </c>
      <c r="E729">
        <v>51</v>
      </c>
      <c r="F729" s="2" t="s">
        <v>16</v>
      </c>
      <c r="G729">
        <v>3</v>
      </c>
      <c r="H729">
        <v>50</v>
      </c>
      <c r="I729">
        <v>150</v>
      </c>
    </row>
    <row r="730" spans="1:9">
      <c r="A730" s="2">
        <v>729</v>
      </c>
      <c r="B730" s="1">
        <v>45069</v>
      </c>
      <c r="C730" t="s">
        <v>742</v>
      </c>
      <c r="D730" t="s">
        <v>10</v>
      </c>
      <c r="E730">
        <v>29</v>
      </c>
      <c r="F730" s="2" t="s">
        <v>14</v>
      </c>
      <c r="G730">
        <v>4</v>
      </c>
      <c r="H730">
        <v>300</v>
      </c>
      <c r="I730">
        <v>1200</v>
      </c>
    </row>
    <row r="731" spans="1:9">
      <c r="A731" s="2">
        <v>730</v>
      </c>
      <c r="B731" s="1">
        <v>45142</v>
      </c>
      <c r="C731" t="s">
        <v>743</v>
      </c>
      <c r="D731" t="s">
        <v>13</v>
      </c>
      <c r="E731">
        <v>36</v>
      </c>
      <c r="F731" s="2" t="s">
        <v>14</v>
      </c>
      <c r="G731">
        <v>2</v>
      </c>
      <c r="H731">
        <v>25</v>
      </c>
      <c r="I731">
        <v>50</v>
      </c>
    </row>
    <row r="732" spans="1:9">
      <c r="A732" s="2">
        <v>731</v>
      </c>
      <c r="B732" s="1">
        <v>45056</v>
      </c>
      <c r="C732" t="s">
        <v>744</v>
      </c>
      <c r="D732" t="s">
        <v>10</v>
      </c>
      <c r="E732">
        <v>54</v>
      </c>
      <c r="F732" s="2" t="s">
        <v>14</v>
      </c>
      <c r="G732">
        <v>4</v>
      </c>
      <c r="H732">
        <v>500</v>
      </c>
      <c r="I732">
        <v>2000</v>
      </c>
    </row>
    <row r="733" spans="1:9">
      <c r="A733" s="2">
        <v>732</v>
      </c>
      <c r="B733" s="1">
        <v>44968</v>
      </c>
      <c r="C733" t="s">
        <v>745</v>
      </c>
      <c r="D733" t="s">
        <v>10</v>
      </c>
      <c r="E733">
        <v>61</v>
      </c>
      <c r="F733" s="2" t="s">
        <v>16</v>
      </c>
      <c r="G733">
        <v>2</v>
      </c>
      <c r="H733">
        <v>500</v>
      </c>
      <c r="I733">
        <v>1000</v>
      </c>
    </row>
    <row r="734" spans="1:9">
      <c r="A734" s="2">
        <v>733</v>
      </c>
      <c r="B734" s="1">
        <v>45167</v>
      </c>
      <c r="C734" t="s">
        <v>746</v>
      </c>
      <c r="D734" t="s">
        <v>10</v>
      </c>
      <c r="E734">
        <v>34</v>
      </c>
      <c r="F734" s="2" t="s">
        <v>11</v>
      </c>
      <c r="G734">
        <v>1</v>
      </c>
      <c r="H734">
        <v>30</v>
      </c>
      <c r="I734">
        <v>30</v>
      </c>
    </row>
    <row r="735" spans="1:9">
      <c r="A735" s="2">
        <v>734</v>
      </c>
      <c r="B735" s="1">
        <v>44936</v>
      </c>
      <c r="C735" t="s">
        <v>747</v>
      </c>
      <c r="D735" t="s">
        <v>13</v>
      </c>
      <c r="E735">
        <v>27</v>
      </c>
      <c r="F735" s="2" t="s">
        <v>14</v>
      </c>
      <c r="G735">
        <v>1</v>
      </c>
      <c r="H735">
        <v>30</v>
      </c>
      <c r="I735">
        <v>30</v>
      </c>
    </row>
    <row r="736" spans="1:9">
      <c r="A736" s="2">
        <v>735</v>
      </c>
      <c r="B736" s="1">
        <v>45203</v>
      </c>
      <c r="C736" t="s">
        <v>748</v>
      </c>
      <c r="D736" t="s">
        <v>13</v>
      </c>
      <c r="E736">
        <v>64</v>
      </c>
      <c r="F736" s="2" t="s">
        <v>14</v>
      </c>
      <c r="G736">
        <v>4</v>
      </c>
      <c r="H736">
        <v>500</v>
      </c>
      <c r="I736">
        <v>2000</v>
      </c>
    </row>
    <row r="737" spans="1:9">
      <c r="A737" s="2">
        <v>736</v>
      </c>
      <c r="B737" s="1">
        <v>44953</v>
      </c>
      <c r="C737" t="s">
        <v>749</v>
      </c>
      <c r="D737" t="s">
        <v>10</v>
      </c>
      <c r="E737">
        <v>29</v>
      </c>
      <c r="F737" s="2" t="s">
        <v>14</v>
      </c>
      <c r="G737">
        <v>4</v>
      </c>
      <c r="H737">
        <v>25</v>
      </c>
      <c r="I737">
        <v>100</v>
      </c>
    </row>
    <row r="738" spans="1:9">
      <c r="A738" s="2">
        <v>737</v>
      </c>
      <c r="B738" s="1">
        <v>45106</v>
      </c>
      <c r="C738" t="s">
        <v>750</v>
      </c>
      <c r="D738" t="s">
        <v>13</v>
      </c>
      <c r="E738">
        <v>33</v>
      </c>
      <c r="F738" s="2" t="s">
        <v>14</v>
      </c>
      <c r="G738">
        <v>1</v>
      </c>
      <c r="H738">
        <v>50</v>
      </c>
      <c r="I738">
        <v>50</v>
      </c>
    </row>
    <row r="739" spans="1:9">
      <c r="A739" s="2">
        <v>738</v>
      </c>
      <c r="B739" s="1">
        <v>45041</v>
      </c>
      <c r="C739" t="s">
        <v>751</v>
      </c>
      <c r="D739" t="s">
        <v>10</v>
      </c>
      <c r="E739">
        <v>41</v>
      </c>
      <c r="F739" s="2" t="s">
        <v>14</v>
      </c>
      <c r="G739">
        <v>2</v>
      </c>
      <c r="H739">
        <v>50</v>
      </c>
      <c r="I739">
        <v>100</v>
      </c>
    </row>
    <row r="740" spans="1:9">
      <c r="A740" s="2">
        <v>739</v>
      </c>
      <c r="B740" s="1">
        <v>45259</v>
      </c>
      <c r="C740" t="s">
        <v>752</v>
      </c>
      <c r="D740" t="s">
        <v>10</v>
      </c>
      <c r="E740">
        <v>36</v>
      </c>
      <c r="F740" s="2" t="s">
        <v>11</v>
      </c>
      <c r="G740">
        <v>1</v>
      </c>
      <c r="H740">
        <v>25</v>
      </c>
      <c r="I740">
        <v>25</v>
      </c>
    </row>
    <row r="741" spans="1:9">
      <c r="A741" s="2">
        <v>740</v>
      </c>
      <c r="B741" s="1">
        <v>44962</v>
      </c>
      <c r="C741" t="s">
        <v>753</v>
      </c>
      <c r="D741" t="s">
        <v>13</v>
      </c>
      <c r="E741">
        <v>25</v>
      </c>
      <c r="F741" s="2" t="s">
        <v>11</v>
      </c>
      <c r="G741">
        <v>4</v>
      </c>
      <c r="H741">
        <v>50</v>
      </c>
      <c r="I741">
        <v>200</v>
      </c>
    </row>
    <row r="742" spans="1:9">
      <c r="A742" s="2">
        <v>741</v>
      </c>
      <c r="B742" s="1">
        <v>45260</v>
      </c>
      <c r="C742" t="s">
        <v>754</v>
      </c>
      <c r="D742" t="s">
        <v>10</v>
      </c>
      <c r="E742">
        <v>48</v>
      </c>
      <c r="F742" s="2" t="s">
        <v>14</v>
      </c>
      <c r="G742">
        <v>1</v>
      </c>
      <c r="H742">
        <v>300</v>
      </c>
      <c r="I742">
        <v>300</v>
      </c>
    </row>
    <row r="743" spans="1:9">
      <c r="A743" s="2">
        <v>742</v>
      </c>
      <c r="B743" s="1">
        <v>44947</v>
      </c>
      <c r="C743" t="s">
        <v>755</v>
      </c>
      <c r="D743" t="s">
        <v>13</v>
      </c>
      <c r="E743">
        <v>38</v>
      </c>
      <c r="F743" s="2" t="s">
        <v>16</v>
      </c>
      <c r="G743">
        <v>4</v>
      </c>
      <c r="H743">
        <v>500</v>
      </c>
      <c r="I743">
        <v>2000</v>
      </c>
    </row>
    <row r="744" spans="1:9">
      <c r="A744" s="2">
        <v>743</v>
      </c>
      <c r="B744" s="1">
        <v>44942</v>
      </c>
      <c r="C744" t="s">
        <v>756</v>
      </c>
      <c r="D744" t="s">
        <v>13</v>
      </c>
      <c r="E744">
        <v>34</v>
      </c>
      <c r="F744" s="2" t="s">
        <v>11</v>
      </c>
      <c r="G744">
        <v>4</v>
      </c>
      <c r="H744">
        <v>500</v>
      </c>
      <c r="I744">
        <v>2000</v>
      </c>
    </row>
    <row r="745" spans="1:9">
      <c r="A745" s="2">
        <v>744</v>
      </c>
      <c r="B745" s="1">
        <v>45053</v>
      </c>
      <c r="C745" t="s">
        <v>757</v>
      </c>
      <c r="D745" t="s">
        <v>10</v>
      </c>
      <c r="E745">
        <v>40</v>
      </c>
      <c r="F745" s="2" t="s">
        <v>16</v>
      </c>
      <c r="G745">
        <v>1</v>
      </c>
      <c r="H745">
        <v>25</v>
      </c>
      <c r="I745">
        <v>25</v>
      </c>
    </row>
    <row r="746" spans="1:9">
      <c r="A746" s="2">
        <v>745</v>
      </c>
      <c r="B746" s="1">
        <v>45029</v>
      </c>
      <c r="C746" t="s">
        <v>758</v>
      </c>
      <c r="D746" t="s">
        <v>10</v>
      </c>
      <c r="E746">
        <v>54</v>
      </c>
      <c r="F746" s="2" t="s">
        <v>11</v>
      </c>
      <c r="G746">
        <v>2</v>
      </c>
      <c r="H746">
        <v>50</v>
      </c>
      <c r="I746">
        <v>100</v>
      </c>
    </row>
    <row r="747" spans="1:9">
      <c r="A747" s="2">
        <v>746</v>
      </c>
      <c r="B747" s="1">
        <v>44937</v>
      </c>
      <c r="C747" t="s">
        <v>759</v>
      </c>
      <c r="D747" t="s">
        <v>13</v>
      </c>
      <c r="E747">
        <v>33</v>
      </c>
      <c r="F747" s="2" t="s">
        <v>14</v>
      </c>
      <c r="G747">
        <v>3</v>
      </c>
      <c r="H747">
        <v>30</v>
      </c>
      <c r="I747">
        <v>90</v>
      </c>
    </row>
    <row r="748" spans="1:9">
      <c r="A748" s="2">
        <v>747</v>
      </c>
      <c r="B748" s="1">
        <v>45245</v>
      </c>
      <c r="C748" t="s">
        <v>760</v>
      </c>
      <c r="D748" t="s">
        <v>10</v>
      </c>
      <c r="E748">
        <v>23</v>
      </c>
      <c r="F748" s="2" t="s">
        <v>11</v>
      </c>
      <c r="G748">
        <v>1</v>
      </c>
      <c r="H748">
        <v>30</v>
      </c>
      <c r="I748">
        <v>30</v>
      </c>
    </row>
    <row r="749" spans="1:9">
      <c r="A749" s="2">
        <v>748</v>
      </c>
      <c r="B749" s="1">
        <v>45005</v>
      </c>
      <c r="C749" t="s">
        <v>761</v>
      </c>
      <c r="D749" t="s">
        <v>10</v>
      </c>
      <c r="E749">
        <v>25</v>
      </c>
      <c r="F749" s="2" t="s">
        <v>14</v>
      </c>
      <c r="G749">
        <v>3</v>
      </c>
      <c r="H749">
        <v>50</v>
      </c>
      <c r="I749">
        <v>150</v>
      </c>
    </row>
    <row r="750" spans="1:9">
      <c r="A750" s="2">
        <v>749</v>
      </c>
      <c r="B750" s="1">
        <v>45049</v>
      </c>
      <c r="C750" t="s">
        <v>762</v>
      </c>
      <c r="D750" t="s">
        <v>10</v>
      </c>
      <c r="E750">
        <v>42</v>
      </c>
      <c r="F750" s="2" t="s">
        <v>11</v>
      </c>
      <c r="G750">
        <v>1</v>
      </c>
      <c r="H750">
        <v>30</v>
      </c>
      <c r="I750">
        <v>30</v>
      </c>
    </row>
    <row r="751" spans="1:9">
      <c r="A751" s="2">
        <v>750</v>
      </c>
      <c r="B751" s="1">
        <v>44991</v>
      </c>
      <c r="C751" t="s">
        <v>763</v>
      </c>
      <c r="D751" t="s">
        <v>13</v>
      </c>
      <c r="E751">
        <v>35</v>
      </c>
      <c r="F751" s="2" t="s">
        <v>14</v>
      </c>
      <c r="G751">
        <v>3</v>
      </c>
      <c r="H751">
        <v>25</v>
      </c>
      <c r="I751">
        <v>75</v>
      </c>
    </row>
    <row r="752" spans="1:9">
      <c r="A752" s="2">
        <v>751</v>
      </c>
      <c r="B752" s="1">
        <v>45169</v>
      </c>
      <c r="C752" t="s">
        <v>764</v>
      </c>
      <c r="D752" t="s">
        <v>13</v>
      </c>
      <c r="E752">
        <v>42</v>
      </c>
      <c r="F752" s="2" t="s">
        <v>14</v>
      </c>
      <c r="G752">
        <v>2</v>
      </c>
      <c r="H752">
        <v>25</v>
      </c>
      <c r="I752">
        <v>50</v>
      </c>
    </row>
    <row r="753" spans="1:9">
      <c r="A753" s="2">
        <v>752</v>
      </c>
      <c r="B753" s="1">
        <v>45269</v>
      </c>
      <c r="C753" t="s">
        <v>765</v>
      </c>
      <c r="D753" t="s">
        <v>10</v>
      </c>
      <c r="E753">
        <v>29</v>
      </c>
      <c r="F753" s="2" t="s">
        <v>14</v>
      </c>
      <c r="G753">
        <v>2</v>
      </c>
      <c r="H753">
        <v>50</v>
      </c>
      <c r="I753">
        <v>100</v>
      </c>
    </row>
    <row r="754" spans="1:9">
      <c r="A754" s="2">
        <v>753</v>
      </c>
      <c r="B754" s="1">
        <v>44985</v>
      </c>
      <c r="C754" t="s">
        <v>766</v>
      </c>
      <c r="D754" t="s">
        <v>13</v>
      </c>
      <c r="E754">
        <v>32</v>
      </c>
      <c r="F754" s="2" t="s">
        <v>14</v>
      </c>
      <c r="G754">
        <v>1</v>
      </c>
      <c r="H754">
        <v>30</v>
      </c>
      <c r="I754">
        <v>30</v>
      </c>
    </row>
    <row r="755" spans="1:9">
      <c r="A755" s="2">
        <v>754</v>
      </c>
      <c r="B755" s="1">
        <v>45215</v>
      </c>
      <c r="C755" t="s">
        <v>767</v>
      </c>
      <c r="D755" t="s">
        <v>13</v>
      </c>
      <c r="E755">
        <v>43</v>
      </c>
      <c r="F755" s="2" t="s">
        <v>16</v>
      </c>
      <c r="G755">
        <v>4</v>
      </c>
      <c r="H755">
        <v>25</v>
      </c>
      <c r="I755">
        <v>100</v>
      </c>
    </row>
    <row r="756" spans="1:9">
      <c r="A756" s="2">
        <v>755</v>
      </c>
      <c r="B756" s="1">
        <v>45038</v>
      </c>
      <c r="C756" t="s">
        <v>768</v>
      </c>
      <c r="D756" t="s">
        <v>13</v>
      </c>
      <c r="E756">
        <v>58</v>
      </c>
      <c r="F756" s="2" t="s">
        <v>14</v>
      </c>
      <c r="G756">
        <v>3</v>
      </c>
      <c r="H756">
        <v>25</v>
      </c>
      <c r="I756">
        <v>75</v>
      </c>
    </row>
    <row r="757" spans="1:9">
      <c r="A757" s="2">
        <v>756</v>
      </c>
      <c r="B757" s="1">
        <v>45165</v>
      </c>
      <c r="C757" t="s">
        <v>769</v>
      </c>
      <c r="D757" t="s">
        <v>13</v>
      </c>
      <c r="E757">
        <v>62</v>
      </c>
      <c r="F757" s="2" t="s">
        <v>16</v>
      </c>
      <c r="G757">
        <v>4</v>
      </c>
      <c r="H757">
        <v>300</v>
      </c>
      <c r="I757">
        <v>1200</v>
      </c>
    </row>
    <row r="758" spans="1:9">
      <c r="A758" s="2">
        <v>757</v>
      </c>
      <c r="B758" s="1">
        <v>45285</v>
      </c>
      <c r="C758" t="s">
        <v>770</v>
      </c>
      <c r="D758" t="s">
        <v>13</v>
      </c>
      <c r="E758">
        <v>43</v>
      </c>
      <c r="F758" s="2" t="s">
        <v>16</v>
      </c>
      <c r="G758">
        <v>4</v>
      </c>
      <c r="H758">
        <v>300</v>
      </c>
      <c r="I758">
        <v>1200</v>
      </c>
    </row>
    <row r="759" spans="1:9">
      <c r="A759" s="2">
        <v>758</v>
      </c>
      <c r="B759" s="1">
        <v>45058</v>
      </c>
      <c r="C759" t="s">
        <v>771</v>
      </c>
      <c r="D759" t="s">
        <v>10</v>
      </c>
      <c r="E759">
        <v>64</v>
      </c>
      <c r="F759" s="2" t="s">
        <v>14</v>
      </c>
      <c r="G759">
        <v>4</v>
      </c>
      <c r="H759">
        <v>25</v>
      </c>
      <c r="I759">
        <v>100</v>
      </c>
    </row>
    <row r="760" spans="1:9">
      <c r="A760" s="2">
        <v>759</v>
      </c>
      <c r="B760" s="1">
        <v>45115</v>
      </c>
      <c r="C760" t="s">
        <v>772</v>
      </c>
      <c r="D760" t="s">
        <v>10</v>
      </c>
      <c r="E760">
        <v>49</v>
      </c>
      <c r="F760" s="2" t="s">
        <v>16</v>
      </c>
      <c r="G760">
        <v>2</v>
      </c>
      <c r="H760">
        <v>50</v>
      </c>
      <c r="I760">
        <v>100</v>
      </c>
    </row>
    <row r="761" spans="1:9">
      <c r="A761" s="2">
        <v>760</v>
      </c>
      <c r="B761" s="1">
        <v>45012</v>
      </c>
      <c r="C761" t="s">
        <v>773</v>
      </c>
      <c r="D761" t="s">
        <v>10</v>
      </c>
      <c r="E761">
        <v>27</v>
      </c>
      <c r="F761" s="2" t="s">
        <v>11</v>
      </c>
      <c r="G761">
        <v>1</v>
      </c>
      <c r="H761">
        <v>500</v>
      </c>
      <c r="I761">
        <v>500</v>
      </c>
    </row>
    <row r="762" spans="1:9">
      <c r="A762" s="2">
        <v>761</v>
      </c>
      <c r="B762" s="1">
        <v>45237</v>
      </c>
      <c r="C762" t="s">
        <v>774</v>
      </c>
      <c r="D762" t="s">
        <v>13</v>
      </c>
      <c r="E762">
        <v>33</v>
      </c>
      <c r="F762" s="2" t="s">
        <v>14</v>
      </c>
      <c r="G762">
        <v>1</v>
      </c>
      <c r="H762">
        <v>500</v>
      </c>
      <c r="I762">
        <v>500</v>
      </c>
    </row>
    <row r="763" spans="1:9">
      <c r="A763" s="2">
        <v>762</v>
      </c>
      <c r="B763" s="1">
        <v>45237</v>
      </c>
      <c r="C763" t="s">
        <v>775</v>
      </c>
      <c r="D763" t="s">
        <v>13</v>
      </c>
      <c r="E763">
        <v>24</v>
      </c>
      <c r="F763" s="2" t="s">
        <v>16</v>
      </c>
      <c r="G763">
        <v>2</v>
      </c>
      <c r="H763">
        <v>25</v>
      </c>
      <c r="I763">
        <v>50</v>
      </c>
    </row>
    <row r="764" spans="1:9">
      <c r="A764" s="2">
        <v>763</v>
      </c>
      <c r="B764" s="1">
        <v>44985</v>
      </c>
      <c r="C764" t="s">
        <v>776</v>
      </c>
      <c r="D764" t="s">
        <v>10</v>
      </c>
      <c r="E764">
        <v>34</v>
      </c>
      <c r="F764" s="2" t="s">
        <v>14</v>
      </c>
      <c r="G764">
        <v>2</v>
      </c>
      <c r="H764">
        <v>25</v>
      </c>
      <c r="I764">
        <v>50</v>
      </c>
    </row>
    <row r="765" spans="1:9">
      <c r="A765" s="2">
        <v>764</v>
      </c>
      <c r="B765" s="1">
        <v>45010</v>
      </c>
      <c r="C765" t="s">
        <v>777</v>
      </c>
      <c r="D765" t="s">
        <v>13</v>
      </c>
      <c r="E765">
        <v>40</v>
      </c>
      <c r="F765" s="2" t="s">
        <v>14</v>
      </c>
      <c r="G765">
        <v>1</v>
      </c>
      <c r="H765">
        <v>25</v>
      </c>
      <c r="I765">
        <v>25</v>
      </c>
    </row>
    <row r="766" spans="1:9">
      <c r="A766" s="2">
        <v>765</v>
      </c>
      <c r="B766" s="1">
        <v>45086</v>
      </c>
      <c r="C766" t="s">
        <v>778</v>
      </c>
      <c r="D766" t="s">
        <v>10</v>
      </c>
      <c r="E766">
        <v>43</v>
      </c>
      <c r="F766" s="2" t="s">
        <v>14</v>
      </c>
      <c r="G766">
        <v>4</v>
      </c>
      <c r="H766">
        <v>50</v>
      </c>
      <c r="I766">
        <v>200</v>
      </c>
    </row>
    <row r="767" spans="1:9">
      <c r="A767" s="2">
        <v>766</v>
      </c>
      <c r="B767" s="1">
        <v>44982</v>
      </c>
      <c r="C767" t="s">
        <v>779</v>
      </c>
      <c r="D767" t="s">
        <v>10</v>
      </c>
      <c r="E767">
        <v>38</v>
      </c>
      <c r="F767" s="2" t="s">
        <v>16</v>
      </c>
      <c r="G767">
        <v>3</v>
      </c>
      <c r="H767">
        <v>300</v>
      </c>
      <c r="I767">
        <v>900</v>
      </c>
    </row>
    <row r="768" spans="1:9">
      <c r="A768" s="2">
        <v>767</v>
      </c>
      <c r="B768" s="1">
        <v>45223</v>
      </c>
      <c r="C768" t="s">
        <v>780</v>
      </c>
      <c r="D768" t="s">
        <v>10</v>
      </c>
      <c r="E768">
        <v>39</v>
      </c>
      <c r="F768" s="2" t="s">
        <v>11</v>
      </c>
      <c r="G768">
        <v>3</v>
      </c>
      <c r="H768">
        <v>25</v>
      </c>
      <c r="I768">
        <v>75</v>
      </c>
    </row>
    <row r="769" spans="1:9">
      <c r="A769" s="2">
        <v>768</v>
      </c>
      <c r="B769" s="1">
        <v>44940</v>
      </c>
      <c r="C769" t="s">
        <v>781</v>
      </c>
      <c r="D769" t="s">
        <v>13</v>
      </c>
      <c r="E769">
        <v>24</v>
      </c>
      <c r="F769" s="2" t="s">
        <v>11</v>
      </c>
      <c r="G769">
        <v>3</v>
      </c>
      <c r="H769">
        <v>25</v>
      </c>
      <c r="I769">
        <v>75</v>
      </c>
    </row>
    <row r="770" spans="1:9">
      <c r="A770" s="2">
        <v>769</v>
      </c>
      <c r="B770" s="1">
        <v>45086</v>
      </c>
      <c r="C770" t="s">
        <v>782</v>
      </c>
      <c r="D770" t="s">
        <v>13</v>
      </c>
      <c r="E770">
        <v>31</v>
      </c>
      <c r="F770" s="2" t="s">
        <v>16</v>
      </c>
      <c r="G770">
        <v>4</v>
      </c>
      <c r="H770">
        <v>30</v>
      </c>
      <c r="I770">
        <v>120</v>
      </c>
    </row>
    <row r="771" spans="1:9">
      <c r="A771" s="2">
        <v>770</v>
      </c>
      <c r="B771" s="1">
        <v>45221</v>
      </c>
      <c r="C771" t="s">
        <v>783</v>
      </c>
      <c r="D771" t="s">
        <v>10</v>
      </c>
      <c r="E771">
        <v>32</v>
      </c>
      <c r="F771" s="2" t="s">
        <v>14</v>
      </c>
      <c r="G771">
        <v>1</v>
      </c>
      <c r="H771">
        <v>50</v>
      </c>
      <c r="I771">
        <v>50</v>
      </c>
    </row>
    <row r="772" spans="1:9">
      <c r="A772" s="2">
        <v>771</v>
      </c>
      <c r="B772" s="1">
        <v>45273</v>
      </c>
      <c r="C772" t="s">
        <v>784</v>
      </c>
      <c r="D772" t="s">
        <v>10</v>
      </c>
      <c r="E772">
        <v>24</v>
      </c>
      <c r="F772" s="2" t="s">
        <v>16</v>
      </c>
      <c r="G772">
        <v>2</v>
      </c>
      <c r="H772">
        <v>25</v>
      </c>
      <c r="I772">
        <v>50</v>
      </c>
    </row>
    <row r="773" spans="1:9">
      <c r="A773" s="2">
        <v>772</v>
      </c>
      <c r="B773" s="1">
        <v>45119</v>
      </c>
      <c r="C773" t="s">
        <v>785</v>
      </c>
      <c r="D773" t="s">
        <v>10</v>
      </c>
      <c r="E773">
        <v>26</v>
      </c>
      <c r="F773" s="2" t="s">
        <v>16</v>
      </c>
      <c r="G773">
        <v>1</v>
      </c>
      <c r="H773">
        <v>30</v>
      </c>
      <c r="I773">
        <v>30</v>
      </c>
    </row>
    <row r="774" spans="1:9">
      <c r="A774" s="2">
        <v>773</v>
      </c>
      <c r="B774" s="1">
        <v>45130</v>
      </c>
      <c r="C774" t="s">
        <v>786</v>
      </c>
      <c r="D774" t="s">
        <v>10</v>
      </c>
      <c r="E774">
        <v>25</v>
      </c>
      <c r="F774" s="2" t="s">
        <v>16</v>
      </c>
      <c r="G774">
        <v>4</v>
      </c>
      <c r="H774">
        <v>500</v>
      </c>
      <c r="I774">
        <v>2000</v>
      </c>
    </row>
    <row r="775" spans="1:9">
      <c r="A775" s="2">
        <v>774</v>
      </c>
      <c r="B775" s="1">
        <v>45028</v>
      </c>
      <c r="C775" t="s">
        <v>787</v>
      </c>
      <c r="D775" t="s">
        <v>13</v>
      </c>
      <c r="E775">
        <v>40</v>
      </c>
      <c r="F775" s="2" t="s">
        <v>14</v>
      </c>
      <c r="G775">
        <v>2</v>
      </c>
      <c r="H775">
        <v>25</v>
      </c>
      <c r="I775">
        <v>50</v>
      </c>
    </row>
    <row r="776" spans="1:9">
      <c r="A776" s="2">
        <v>775</v>
      </c>
      <c r="B776" s="1">
        <v>44965</v>
      </c>
      <c r="C776" t="s">
        <v>788</v>
      </c>
      <c r="D776" t="s">
        <v>13</v>
      </c>
      <c r="E776">
        <v>46</v>
      </c>
      <c r="F776" s="2" t="s">
        <v>16</v>
      </c>
      <c r="G776">
        <v>4</v>
      </c>
      <c r="H776">
        <v>25</v>
      </c>
      <c r="I776">
        <v>100</v>
      </c>
    </row>
    <row r="777" spans="1:9">
      <c r="A777" s="2">
        <v>776</v>
      </c>
      <c r="B777" s="1">
        <v>45230</v>
      </c>
      <c r="C777" t="s">
        <v>789</v>
      </c>
      <c r="D777" t="s">
        <v>10</v>
      </c>
      <c r="E777">
        <v>35</v>
      </c>
      <c r="F777" s="2" t="s">
        <v>14</v>
      </c>
      <c r="G777">
        <v>3</v>
      </c>
      <c r="H777">
        <v>30</v>
      </c>
      <c r="I777">
        <v>90</v>
      </c>
    </row>
    <row r="778" spans="1:9">
      <c r="A778" s="2">
        <v>777</v>
      </c>
      <c r="B778" s="1">
        <v>45280</v>
      </c>
      <c r="C778" t="s">
        <v>790</v>
      </c>
      <c r="D778" t="s">
        <v>10</v>
      </c>
      <c r="E778">
        <v>48</v>
      </c>
      <c r="F778" s="2" t="s">
        <v>16</v>
      </c>
      <c r="G778">
        <v>3</v>
      </c>
      <c r="H778">
        <v>50</v>
      </c>
      <c r="I778">
        <v>150</v>
      </c>
    </row>
    <row r="779" spans="1:9">
      <c r="A779" s="2">
        <v>778</v>
      </c>
      <c r="B779" s="1">
        <v>45248</v>
      </c>
      <c r="C779" t="s">
        <v>791</v>
      </c>
      <c r="D779" t="s">
        <v>13</v>
      </c>
      <c r="E779">
        <v>47</v>
      </c>
      <c r="F779" s="2" t="s">
        <v>11</v>
      </c>
      <c r="G779">
        <v>4</v>
      </c>
      <c r="H779">
        <v>25</v>
      </c>
      <c r="I779">
        <v>100</v>
      </c>
    </row>
    <row r="780" spans="1:9">
      <c r="A780" s="2">
        <v>779</v>
      </c>
      <c r="B780" s="1">
        <v>45051</v>
      </c>
      <c r="C780" t="s">
        <v>792</v>
      </c>
      <c r="D780" t="s">
        <v>13</v>
      </c>
      <c r="E780">
        <v>56</v>
      </c>
      <c r="F780" s="2" t="s">
        <v>16</v>
      </c>
      <c r="G780">
        <v>2</v>
      </c>
      <c r="H780">
        <v>500</v>
      </c>
      <c r="I780">
        <v>1000</v>
      </c>
    </row>
    <row r="781" spans="1:9">
      <c r="A781" s="2">
        <v>780</v>
      </c>
      <c r="B781" s="1">
        <v>44979</v>
      </c>
      <c r="C781" t="s">
        <v>793</v>
      </c>
      <c r="D781" t="s">
        <v>10</v>
      </c>
      <c r="E781">
        <v>52</v>
      </c>
      <c r="F781" s="2" t="s">
        <v>16</v>
      </c>
      <c r="G781">
        <v>2</v>
      </c>
      <c r="H781">
        <v>25</v>
      </c>
      <c r="I781">
        <v>50</v>
      </c>
    </row>
    <row r="782" spans="1:9">
      <c r="A782" s="2">
        <v>781</v>
      </c>
      <c r="B782" s="1">
        <v>45283</v>
      </c>
      <c r="C782" t="s">
        <v>794</v>
      </c>
      <c r="D782" t="s">
        <v>10</v>
      </c>
      <c r="E782">
        <v>35</v>
      </c>
      <c r="F782" s="2" t="s">
        <v>11</v>
      </c>
      <c r="G782">
        <v>1</v>
      </c>
      <c r="H782">
        <v>500</v>
      </c>
      <c r="I782">
        <v>500</v>
      </c>
    </row>
    <row r="783" spans="1:9">
      <c r="A783" s="2">
        <v>782</v>
      </c>
      <c r="B783" s="1">
        <v>45081</v>
      </c>
      <c r="C783" t="s">
        <v>795</v>
      </c>
      <c r="D783" t="s">
        <v>10</v>
      </c>
      <c r="E783">
        <v>59</v>
      </c>
      <c r="F783" s="2" t="s">
        <v>14</v>
      </c>
      <c r="G783">
        <v>3</v>
      </c>
      <c r="H783">
        <v>300</v>
      </c>
      <c r="I783">
        <v>900</v>
      </c>
    </row>
    <row r="784" spans="1:9">
      <c r="A784" s="2">
        <v>783</v>
      </c>
      <c r="B784" s="1">
        <v>45277</v>
      </c>
      <c r="C784" t="s">
        <v>796</v>
      </c>
      <c r="D784" t="s">
        <v>13</v>
      </c>
      <c r="E784">
        <v>56</v>
      </c>
      <c r="F784" s="2" t="s">
        <v>14</v>
      </c>
      <c r="G784">
        <v>1</v>
      </c>
      <c r="H784">
        <v>300</v>
      </c>
      <c r="I784">
        <v>300</v>
      </c>
    </row>
    <row r="785" spans="1:9">
      <c r="A785" s="2">
        <v>784</v>
      </c>
      <c r="B785" s="1">
        <v>45234</v>
      </c>
      <c r="C785" t="s">
        <v>797</v>
      </c>
      <c r="D785" t="s">
        <v>13</v>
      </c>
      <c r="E785">
        <v>34</v>
      </c>
      <c r="F785" s="2" t="s">
        <v>16</v>
      </c>
      <c r="G785">
        <v>1</v>
      </c>
      <c r="H785">
        <v>500</v>
      </c>
      <c r="I785">
        <v>500</v>
      </c>
    </row>
    <row r="786" spans="1:9">
      <c r="A786" s="2">
        <v>785</v>
      </c>
      <c r="B786" s="1">
        <v>44988</v>
      </c>
      <c r="C786" t="s">
        <v>798</v>
      </c>
      <c r="D786" t="s">
        <v>13</v>
      </c>
      <c r="E786">
        <v>31</v>
      </c>
      <c r="F786" s="2" t="s">
        <v>11</v>
      </c>
      <c r="G786">
        <v>4</v>
      </c>
      <c r="H786">
        <v>50</v>
      </c>
      <c r="I786">
        <v>200</v>
      </c>
    </row>
    <row r="787" spans="1:9">
      <c r="A787" s="2">
        <v>786</v>
      </c>
      <c r="B787" s="1">
        <v>45216</v>
      </c>
      <c r="C787" t="s">
        <v>799</v>
      </c>
      <c r="D787" t="s">
        <v>10</v>
      </c>
      <c r="E787">
        <v>48</v>
      </c>
      <c r="F787" s="2" t="s">
        <v>14</v>
      </c>
      <c r="G787">
        <v>4</v>
      </c>
      <c r="H787">
        <v>25</v>
      </c>
      <c r="I787">
        <v>100</v>
      </c>
    </row>
    <row r="788" spans="1:9">
      <c r="A788" s="2">
        <v>787</v>
      </c>
      <c r="B788" s="1">
        <v>44948</v>
      </c>
      <c r="C788" t="s">
        <v>800</v>
      </c>
      <c r="D788" t="s">
        <v>10</v>
      </c>
      <c r="E788">
        <v>41</v>
      </c>
      <c r="F788" s="2" t="s">
        <v>16</v>
      </c>
      <c r="G788">
        <v>1</v>
      </c>
      <c r="H788">
        <v>25</v>
      </c>
      <c r="I788">
        <v>25</v>
      </c>
    </row>
    <row r="789" spans="1:9">
      <c r="A789" s="2">
        <v>788</v>
      </c>
      <c r="B789" s="1">
        <v>45104</v>
      </c>
      <c r="C789" t="s">
        <v>801</v>
      </c>
      <c r="D789" t="s">
        <v>13</v>
      </c>
      <c r="E789">
        <v>52</v>
      </c>
      <c r="F789" s="2" t="s">
        <v>11</v>
      </c>
      <c r="G789">
        <v>3</v>
      </c>
      <c r="H789">
        <v>300</v>
      </c>
      <c r="I789">
        <v>900</v>
      </c>
    </row>
    <row r="790" spans="1:9">
      <c r="A790" s="2">
        <v>789</v>
      </c>
      <c r="B790" s="1">
        <v>45199</v>
      </c>
      <c r="C790" t="s">
        <v>802</v>
      </c>
      <c r="D790" t="s">
        <v>13</v>
      </c>
      <c r="E790">
        <v>61</v>
      </c>
      <c r="F790" s="2" t="s">
        <v>14</v>
      </c>
      <c r="G790">
        <v>4</v>
      </c>
      <c r="H790">
        <v>500</v>
      </c>
      <c r="I790">
        <v>2000</v>
      </c>
    </row>
    <row r="791" spans="1:9">
      <c r="A791" s="2">
        <v>790</v>
      </c>
      <c r="B791" s="1">
        <v>45146</v>
      </c>
      <c r="C791" t="s">
        <v>803</v>
      </c>
      <c r="D791" t="s">
        <v>10</v>
      </c>
      <c r="E791">
        <v>62</v>
      </c>
      <c r="F791" s="2" t="s">
        <v>14</v>
      </c>
      <c r="G791">
        <v>1</v>
      </c>
      <c r="H791">
        <v>25</v>
      </c>
      <c r="I791">
        <v>25</v>
      </c>
    </row>
    <row r="792" spans="1:9">
      <c r="A792" s="2">
        <v>791</v>
      </c>
      <c r="B792" s="1">
        <v>45265</v>
      </c>
      <c r="C792" t="s">
        <v>804</v>
      </c>
      <c r="D792" t="s">
        <v>13</v>
      </c>
      <c r="E792">
        <v>51</v>
      </c>
      <c r="F792" s="2" t="s">
        <v>11</v>
      </c>
      <c r="G792">
        <v>1</v>
      </c>
      <c r="H792">
        <v>25</v>
      </c>
      <c r="I792">
        <v>25</v>
      </c>
    </row>
    <row r="793" spans="1:9">
      <c r="A793" s="2">
        <v>792</v>
      </c>
      <c r="B793" s="1">
        <v>45116</v>
      </c>
      <c r="C793" t="s">
        <v>805</v>
      </c>
      <c r="D793" t="s">
        <v>13</v>
      </c>
      <c r="E793">
        <v>20</v>
      </c>
      <c r="F793" s="2" t="s">
        <v>11</v>
      </c>
      <c r="G793">
        <v>1</v>
      </c>
      <c r="H793">
        <v>50</v>
      </c>
      <c r="I793">
        <v>50</v>
      </c>
    </row>
    <row r="794" spans="1:9">
      <c r="A794" s="2">
        <v>793</v>
      </c>
      <c r="B794" s="1">
        <v>44962</v>
      </c>
      <c r="C794" t="s">
        <v>806</v>
      </c>
      <c r="D794" t="s">
        <v>10</v>
      </c>
      <c r="E794">
        <v>54</v>
      </c>
      <c r="F794" s="2" t="s">
        <v>11</v>
      </c>
      <c r="G794">
        <v>1</v>
      </c>
      <c r="H794">
        <v>30</v>
      </c>
      <c r="I794">
        <v>30</v>
      </c>
    </row>
    <row r="795" spans="1:9">
      <c r="A795" s="2">
        <v>794</v>
      </c>
      <c r="B795" s="1">
        <v>45186</v>
      </c>
      <c r="C795" t="s">
        <v>807</v>
      </c>
      <c r="D795" t="s">
        <v>13</v>
      </c>
      <c r="E795">
        <v>60</v>
      </c>
      <c r="F795" s="2" t="s">
        <v>11</v>
      </c>
      <c r="G795">
        <v>1</v>
      </c>
      <c r="H795">
        <v>300</v>
      </c>
      <c r="I795">
        <v>300</v>
      </c>
    </row>
    <row r="796" spans="1:9">
      <c r="A796" s="2">
        <v>795</v>
      </c>
      <c r="B796" s="1">
        <v>45258</v>
      </c>
      <c r="C796" t="s">
        <v>808</v>
      </c>
      <c r="D796" t="s">
        <v>10</v>
      </c>
      <c r="E796">
        <v>57</v>
      </c>
      <c r="F796" s="2" t="s">
        <v>16</v>
      </c>
      <c r="G796">
        <v>1</v>
      </c>
      <c r="H796">
        <v>300</v>
      </c>
      <c r="I796">
        <v>300</v>
      </c>
    </row>
    <row r="797" spans="1:9">
      <c r="A797" s="2">
        <v>796</v>
      </c>
      <c r="B797" s="1">
        <v>45101</v>
      </c>
      <c r="C797" t="s">
        <v>809</v>
      </c>
      <c r="D797" t="s">
        <v>10</v>
      </c>
      <c r="E797">
        <v>43</v>
      </c>
      <c r="F797" s="2" t="s">
        <v>11</v>
      </c>
      <c r="G797">
        <v>4</v>
      </c>
      <c r="H797">
        <v>30</v>
      </c>
      <c r="I797">
        <v>120</v>
      </c>
    </row>
    <row r="798" spans="1:9">
      <c r="A798" s="2">
        <v>797</v>
      </c>
      <c r="B798" s="1">
        <v>44933</v>
      </c>
      <c r="C798" t="s">
        <v>810</v>
      </c>
      <c r="D798" t="s">
        <v>10</v>
      </c>
      <c r="E798">
        <v>40</v>
      </c>
      <c r="F798" s="2" t="s">
        <v>14</v>
      </c>
      <c r="G798">
        <v>3</v>
      </c>
      <c r="H798">
        <v>25</v>
      </c>
      <c r="I798">
        <v>75</v>
      </c>
    </row>
    <row r="799" spans="1:9">
      <c r="A799" s="2">
        <v>798</v>
      </c>
      <c r="B799" s="1">
        <v>45142</v>
      </c>
      <c r="C799" t="s">
        <v>811</v>
      </c>
      <c r="D799" t="s">
        <v>10</v>
      </c>
      <c r="E799">
        <v>61</v>
      </c>
      <c r="F799" s="2" t="s">
        <v>14</v>
      </c>
      <c r="G799">
        <v>1</v>
      </c>
      <c r="H799">
        <v>50</v>
      </c>
      <c r="I799">
        <v>50</v>
      </c>
    </row>
    <row r="800" spans="1:9">
      <c r="A800" s="2">
        <v>799</v>
      </c>
      <c r="B800" s="1">
        <v>45177</v>
      </c>
      <c r="C800" t="s">
        <v>812</v>
      </c>
      <c r="D800" t="s">
        <v>10</v>
      </c>
      <c r="E800">
        <v>56</v>
      </c>
      <c r="F800" s="2" t="s">
        <v>16</v>
      </c>
      <c r="G800">
        <v>2</v>
      </c>
      <c r="H800">
        <v>50</v>
      </c>
      <c r="I800">
        <v>100</v>
      </c>
    </row>
    <row r="801" spans="1:9">
      <c r="A801" s="2">
        <v>800</v>
      </c>
      <c r="B801" s="1">
        <v>44981</v>
      </c>
      <c r="C801" t="s">
        <v>813</v>
      </c>
      <c r="D801" t="s">
        <v>10</v>
      </c>
      <c r="E801">
        <v>32</v>
      </c>
      <c r="F801" s="2" t="s">
        <v>14</v>
      </c>
      <c r="G801">
        <v>4</v>
      </c>
      <c r="H801">
        <v>300</v>
      </c>
      <c r="I801">
        <v>1200</v>
      </c>
    </row>
    <row r="802" spans="1:9">
      <c r="A802" s="2">
        <v>801</v>
      </c>
      <c r="B802" s="1">
        <v>45148</v>
      </c>
      <c r="C802" t="s">
        <v>814</v>
      </c>
      <c r="D802" t="s">
        <v>10</v>
      </c>
      <c r="E802">
        <v>21</v>
      </c>
      <c r="F802" s="2" t="s">
        <v>14</v>
      </c>
      <c r="G802">
        <v>4</v>
      </c>
      <c r="H802">
        <v>50</v>
      </c>
      <c r="I802">
        <v>200</v>
      </c>
    </row>
    <row r="803" spans="1:9">
      <c r="A803" s="2">
        <v>802</v>
      </c>
      <c r="B803" s="1">
        <v>45112</v>
      </c>
      <c r="C803" t="s">
        <v>815</v>
      </c>
      <c r="D803" t="s">
        <v>13</v>
      </c>
      <c r="E803">
        <v>46</v>
      </c>
      <c r="F803" s="2" t="s">
        <v>11</v>
      </c>
      <c r="G803">
        <v>1</v>
      </c>
      <c r="H803">
        <v>30</v>
      </c>
      <c r="I803">
        <v>30</v>
      </c>
    </row>
    <row r="804" spans="1:9">
      <c r="A804" s="2">
        <v>803</v>
      </c>
      <c r="B804" s="1">
        <v>45252</v>
      </c>
      <c r="C804" t="s">
        <v>816</v>
      </c>
      <c r="D804" t="s">
        <v>10</v>
      </c>
      <c r="E804">
        <v>39</v>
      </c>
      <c r="F804" s="2" t="s">
        <v>14</v>
      </c>
      <c r="G804">
        <v>4</v>
      </c>
      <c r="H804">
        <v>25</v>
      </c>
      <c r="I804">
        <v>100</v>
      </c>
    </row>
    <row r="805" spans="1:9">
      <c r="A805" s="2">
        <v>804</v>
      </c>
      <c r="B805" s="1">
        <v>45162</v>
      </c>
      <c r="C805" t="s">
        <v>817</v>
      </c>
      <c r="D805" t="s">
        <v>10</v>
      </c>
      <c r="E805">
        <v>42</v>
      </c>
      <c r="F805" s="2" t="s">
        <v>16</v>
      </c>
      <c r="G805">
        <v>1</v>
      </c>
      <c r="H805">
        <v>30</v>
      </c>
      <c r="I805">
        <v>30</v>
      </c>
    </row>
    <row r="806" spans="1:9">
      <c r="A806" s="2">
        <v>805</v>
      </c>
      <c r="B806" s="1">
        <v>45289</v>
      </c>
      <c r="C806" t="s">
        <v>818</v>
      </c>
      <c r="D806" t="s">
        <v>13</v>
      </c>
      <c r="E806">
        <v>30</v>
      </c>
      <c r="F806" s="2" t="s">
        <v>11</v>
      </c>
      <c r="G806">
        <v>3</v>
      </c>
      <c r="H806">
        <v>500</v>
      </c>
      <c r="I806">
        <v>1500</v>
      </c>
    </row>
    <row r="807" spans="1:9">
      <c r="A807" s="2">
        <v>806</v>
      </c>
      <c r="B807" s="1">
        <v>45005</v>
      </c>
      <c r="C807" t="s">
        <v>819</v>
      </c>
      <c r="D807" t="s">
        <v>13</v>
      </c>
      <c r="E807">
        <v>35</v>
      </c>
      <c r="F807" s="2" t="s">
        <v>11</v>
      </c>
      <c r="G807">
        <v>3</v>
      </c>
      <c r="H807">
        <v>300</v>
      </c>
      <c r="I807">
        <v>900</v>
      </c>
    </row>
    <row r="808" spans="1:9">
      <c r="A808" s="2">
        <v>807</v>
      </c>
      <c r="B808" s="1">
        <v>45149</v>
      </c>
      <c r="C808" t="s">
        <v>820</v>
      </c>
      <c r="D808" t="s">
        <v>13</v>
      </c>
      <c r="E808">
        <v>50</v>
      </c>
      <c r="F808" s="2" t="s">
        <v>16</v>
      </c>
      <c r="G808">
        <v>4</v>
      </c>
      <c r="H808">
        <v>50</v>
      </c>
      <c r="I808">
        <v>200</v>
      </c>
    </row>
    <row r="809" spans="1:9">
      <c r="A809" s="2">
        <v>808</v>
      </c>
      <c r="B809" s="1">
        <v>45017</v>
      </c>
      <c r="C809" t="s">
        <v>821</v>
      </c>
      <c r="D809" t="s">
        <v>10</v>
      </c>
      <c r="E809">
        <v>33</v>
      </c>
      <c r="F809" s="2" t="s">
        <v>11</v>
      </c>
      <c r="G809">
        <v>4</v>
      </c>
      <c r="H809">
        <v>500</v>
      </c>
      <c r="I809">
        <v>2000</v>
      </c>
    </row>
    <row r="810" spans="1:9">
      <c r="A810" s="2">
        <v>809</v>
      </c>
      <c r="B810" s="1">
        <v>45194</v>
      </c>
      <c r="C810" t="s">
        <v>822</v>
      </c>
      <c r="D810" t="s">
        <v>13</v>
      </c>
      <c r="E810">
        <v>62</v>
      </c>
      <c r="F810" s="2" t="s">
        <v>11</v>
      </c>
      <c r="G810">
        <v>2</v>
      </c>
      <c r="H810">
        <v>50</v>
      </c>
      <c r="I810">
        <v>100</v>
      </c>
    </row>
    <row r="811" spans="1:9">
      <c r="A811" s="2">
        <v>810</v>
      </c>
      <c r="B811" s="1">
        <v>45260</v>
      </c>
      <c r="C811" t="s">
        <v>823</v>
      </c>
      <c r="D811" t="s">
        <v>10</v>
      </c>
      <c r="E811">
        <v>59</v>
      </c>
      <c r="F811" s="2" t="s">
        <v>16</v>
      </c>
      <c r="G811">
        <v>4</v>
      </c>
      <c r="H811">
        <v>25</v>
      </c>
      <c r="I811">
        <v>100</v>
      </c>
    </row>
    <row r="812" spans="1:9">
      <c r="A812" s="2">
        <v>811</v>
      </c>
      <c r="B812" s="1">
        <v>45065</v>
      </c>
      <c r="C812" t="s">
        <v>824</v>
      </c>
      <c r="D812" t="s">
        <v>10</v>
      </c>
      <c r="E812">
        <v>61</v>
      </c>
      <c r="F812" s="2" t="s">
        <v>11</v>
      </c>
      <c r="G812">
        <v>2</v>
      </c>
      <c r="H812">
        <v>25</v>
      </c>
      <c r="I812">
        <v>50</v>
      </c>
    </row>
    <row r="813" spans="1:9">
      <c r="A813" s="2">
        <v>812</v>
      </c>
      <c r="B813" s="1">
        <v>45242</v>
      </c>
      <c r="C813" t="s">
        <v>825</v>
      </c>
      <c r="D813" t="s">
        <v>10</v>
      </c>
      <c r="E813">
        <v>19</v>
      </c>
      <c r="F813" s="2" t="s">
        <v>16</v>
      </c>
      <c r="G813">
        <v>3</v>
      </c>
      <c r="H813">
        <v>25</v>
      </c>
      <c r="I813">
        <v>75</v>
      </c>
    </row>
    <row r="814" spans="1:9">
      <c r="A814" s="2">
        <v>813</v>
      </c>
      <c r="B814" s="1">
        <v>45202</v>
      </c>
      <c r="C814" t="s">
        <v>826</v>
      </c>
      <c r="D814" t="s">
        <v>10</v>
      </c>
      <c r="E814">
        <v>52</v>
      </c>
      <c r="F814" s="2" t="s">
        <v>16</v>
      </c>
      <c r="G814">
        <v>3</v>
      </c>
      <c r="H814">
        <v>50</v>
      </c>
      <c r="I814">
        <v>150</v>
      </c>
    </row>
    <row r="815" spans="1:9">
      <c r="A815" s="2">
        <v>814</v>
      </c>
      <c r="B815" s="1">
        <v>45174</v>
      </c>
      <c r="C815" t="s">
        <v>827</v>
      </c>
      <c r="D815" t="s">
        <v>13</v>
      </c>
      <c r="E815">
        <v>59</v>
      </c>
      <c r="F815" s="2" t="s">
        <v>14</v>
      </c>
      <c r="G815">
        <v>1</v>
      </c>
      <c r="H815">
        <v>500</v>
      </c>
      <c r="I815">
        <v>500</v>
      </c>
    </row>
    <row r="816" spans="1:9">
      <c r="A816" s="2">
        <v>815</v>
      </c>
      <c r="B816" s="1">
        <v>45165</v>
      </c>
      <c r="C816" t="s">
        <v>828</v>
      </c>
      <c r="D816" t="s">
        <v>13</v>
      </c>
      <c r="E816">
        <v>51</v>
      </c>
      <c r="F816" s="2" t="s">
        <v>14</v>
      </c>
      <c r="G816">
        <v>3</v>
      </c>
      <c r="H816">
        <v>25</v>
      </c>
      <c r="I816">
        <v>75</v>
      </c>
    </row>
    <row r="817" spans="1:9">
      <c r="A817" s="2">
        <v>816</v>
      </c>
      <c r="B817" s="1">
        <v>45150</v>
      </c>
      <c r="C817" t="s">
        <v>829</v>
      </c>
      <c r="D817" t="s">
        <v>10</v>
      </c>
      <c r="E817">
        <v>47</v>
      </c>
      <c r="F817" s="2" t="s">
        <v>11</v>
      </c>
      <c r="G817">
        <v>2</v>
      </c>
      <c r="H817">
        <v>500</v>
      </c>
      <c r="I817">
        <v>1000</v>
      </c>
    </row>
    <row r="818" spans="1:9">
      <c r="A818" s="2">
        <v>817</v>
      </c>
      <c r="B818" s="1">
        <v>45230</v>
      </c>
      <c r="C818" t="s">
        <v>830</v>
      </c>
      <c r="D818" t="s">
        <v>10</v>
      </c>
      <c r="E818">
        <v>30</v>
      </c>
      <c r="F818" s="2" t="s">
        <v>11</v>
      </c>
      <c r="G818">
        <v>4</v>
      </c>
      <c r="H818">
        <v>50</v>
      </c>
      <c r="I818">
        <v>200</v>
      </c>
    </row>
    <row r="819" spans="1:9">
      <c r="A819" s="2">
        <v>818</v>
      </c>
      <c r="B819" s="1">
        <v>45064</v>
      </c>
      <c r="C819" t="s">
        <v>831</v>
      </c>
      <c r="D819" t="s">
        <v>10</v>
      </c>
      <c r="E819">
        <v>30</v>
      </c>
      <c r="F819" s="2" t="s">
        <v>16</v>
      </c>
      <c r="G819">
        <v>1</v>
      </c>
      <c r="H819">
        <v>500</v>
      </c>
      <c r="I819">
        <v>500</v>
      </c>
    </row>
    <row r="820" spans="1:9">
      <c r="A820" s="2">
        <v>819</v>
      </c>
      <c r="B820" s="1">
        <v>45092</v>
      </c>
      <c r="C820" t="s">
        <v>832</v>
      </c>
      <c r="D820" t="s">
        <v>13</v>
      </c>
      <c r="E820">
        <v>35</v>
      </c>
      <c r="F820" s="2" t="s">
        <v>11</v>
      </c>
      <c r="G820">
        <v>2</v>
      </c>
      <c r="H820">
        <v>50</v>
      </c>
      <c r="I820">
        <v>100</v>
      </c>
    </row>
    <row r="821" spans="1:9">
      <c r="A821" s="2">
        <v>820</v>
      </c>
      <c r="B821" s="1">
        <v>45052</v>
      </c>
      <c r="C821" t="s">
        <v>833</v>
      </c>
      <c r="D821" t="s">
        <v>10</v>
      </c>
      <c r="E821">
        <v>49</v>
      </c>
      <c r="F821" s="2" t="s">
        <v>16</v>
      </c>
      <c r="G821">
        <v>4</v>
      </c>
      <c r="H821">
        <v>50</v>
      </c>
      <c r="I821">
        <v>200</v>
      </c>
    </row>
    <row r="822" spans="1:9">
      <c r="A822" s="2">
        <v>821</v>
      </c>
      <c r="B822" s="1">
        <v>44971</v>
      </c>
      <c r="C822" t="s">
        <v>834</v>
      </c>
      <c r="D822" t="s">
        <v>10</v>
      </c>
      <c r="E822">
        <v>49</v>
      </c>
      <c r="F822" s="2" t="s">
        <v>16</v>
      </c>
      <c r="G822">
        <v>1</v>
      </c>
      <c r="H822">
        <v>300</v>
      </c>
      <c r="I822">
        <v>300</v>
      </c>
    </row>
    <row r="823" spans="1:9">
      <c r="A823" s="2">
        <v>822</v>
      </c>
      <c r="B823" s="1">
        <v>45069</v>
      </c>
      <c r="C823" t="s">
        <v>835</v>
      </c>
      <c r="D823" t="s">
        <v>13</v>
      </c>
      <c r="E823">
        <v>52</v>
      </c>
      <c r="F823" s="2" t="s">
        <v>11</v>
      </c>
      <c r="G823">
        <v>3</v>
      </c>
      <c r="H823">
        <v>50</v>
      </c>
      <c r="I823">
        <v>150</v>
      </c>
    </row>
    <row r="824" spans="1:9">
      <c r="A824" s="2">
        <v>823</v>
      </c>
      <c r="B824" s="1">
        <v>45157</v>
      </c>
      <c r="C824" t="s">
        <v>836</v>
      </c>
      <c r="D824" t="s">
        <v>13</v>
      </c>
      <c r="E824">
        <v>56</v>
      </c>
      <c r="F824" s="2" t="s">
        <v>16</v>
      </c>
      <c r="G824">
        <v>2</v>
      </c>
      <c r="H824">
        <v>50</v>
      </c>
      <c r="I824">
        <v>100</v>
      </c>
    </row>
    <row r="825" spans="1:9">
      <c r="A825" s="2">
        <v>824</v>
      </c>
      <c r="B825" s="1">
        <v>45051</v>
      </c>
      <c r="C825" t="s">
        <v>837</v>
      </c>
      <c r="D825" t="s">
        <v>10</v>
      </c>
      <c r="E825">
        <v>63</v>
      </c>
      <c r="F825" s="2" t="s">
        <v>14</v>
      </c>
      <c r="G825">
        <v>4</v>
      </c>
      <c r="H825">
        <v>30</v>
      </c>
      <c r="I825">
        <v>120</v>
      </c>
    </row>
    <row r="826" spans="1:9">
      <c r="A826" s="2">
        <v>825</v>
      </c>
      <c r="B826" s="1">
        <v>45164</v>
      </c>
      <c r="C826" t="s">
        <v>838</v>
      </c>
      <c r="D826" t="s">
        <v>13</v>
      </c>
      <c r="E826">
        <v>46</v>
      </c>
      <c r="F826" s="2" t="s">
        <v>11</v>
      </c>
      <c r="G826">
        <v>1</v>
      </c>
      <c r="H826">
        <v>25</v>
      </c>
      <c r="I826">
        <v>25</v>
      </c>
    </row>
    <row r="827" spans="1:9">
      <c r="A827" s="2">
        <v>826</v>
      </c>
      <c r="B827" s="1">
        <v>45218</v>
      </c>
      <c r="C827" t="s">
        <v>839</v>
      </c>
      <c r="D827" t="s">
        <v>13</v>
      </c>
      <c r="E827">
        <v>46</v>
      </c>
      <c r="F827" s="2" t="s">
        <v>14</v>
      </c>
      <c r="G827">
        <v>1</v>
      </c>
      <c r="H827">
        <v>300</v>
      </c>
      <c r="I827">
        <v>300</v>
      </c>
    </row>
    <row r="828" spans="1:9">
      <c r="A828" s="2">
        <v>827</v>
      </c>
      <c r="B828" s="1">
        <v>45239</v>
      </c>
      <c r="C828" t="s">
        <v>840</v>
      </c>
      <c r="D828" t="s">
        <v>10</v>
      </c>
      <c r="E828">
        <v>61</v>
      </c>
      <c r="F828" s="2" t="s">
        <v>11</v>
      </c>
      <c r="G828">
        <v>3</v>
      </c>
      <c r="H828">
        <v>300</v>
      </c>
      <c r="I828">
        <v>900</v>
      </c>
    </row>
    <row r="829" spans="1:9">
      <c r="A829" s="2">
        <v>828</v>
      </c>
      <c r="B829" s="1">
        <v>45269</v>
      </c>
      <c r="C829" t="s">
        <v>841</v>
      </c>
      <c r="D829" t="s">
        <v>13</v>
      </c>
      <c r="E829">
        <v>33</v>
      </c>
      <c r="F829" s="2" t="s">
        <v>16</v>
      </c>
      <c r="G829">
        <v>4</v>
      </c>
      <c r="H829">
        <v>300</v>
      </c>
      <c r="I829">
        <v>1200</v>
      </c>
    </row>
    <row r="830" spans="1:9">
      <c r="A830" s="2">
        <v>829</v>
      </c>
      <c r="B830" s="1">
        <v>45121</v>
      </c>
      <c r="C830" t="s">
        <v>842</v>
      </c>
      <c r="D830" t="s">
        <v>10</v>
      </c>
      <c r="E830">
        <v>61</v>
      </c>
      <c r="F830" s="2" t="s">
        <v>11</v>
      </c>
      <c r="G830">
        <v>3</v>
      </c>
      <c r="H830">
        <v>30</v>
      </c>
      <c r="I830">
        <v>90</v>
      </c>
    </row>
    <row r="831" spans="1:9">
      <c r="A831" s="2">
        <v>830</v>
      </c>
      <c r="B831" s="1">
        <v>45099</v>
      </c>
      <c r="C831" t="s">
        <v>843</v>
      </c>
      <c r="D831" t="s">
        <v>13</v>
      </c>
      <c r="E831">
        <v>64</v>
      </c>
      <c r="F831" s="2" t="s">
        <v>14</v>
      </c>
      <c r="G831">
        <v>3</v>
      </c>
      <c r="H831">
        <v>50</v>
      </c>
      <c r="I831">
        <v>150</v>
      </c>
    </row>
    <row r="832" spans="1:9">
      <c r="A832" s="2">
        <v>831</v>
      </c>
      <c r="B832" s="1">
        <v>44941</v>
      </c>
      <c r="C832" t="s">
        <v>844</v>
      </c>
      <c r="D832" t="s">
        <v>10</v>
      </c>
      <c r="E832">
        <v>27</v>
      </c>
      <c r="F832" s="2" t="s">
        <v>16</v>
      </c>
      <c r="G832">
        <v>4</v>
      </c>
      <c r="H832">
        <v>25</v>
      </c>
      <c r="I832">
        <v>100</v>
      </c>
    </row>
    <row r="833" spans="1:9">
      <c r="A833" s="2">
        <v>832</v>
      </c>
      <c r="B833" s="1">
        <v>45180</v>
      </c>
      <c r="C833" t="s">
        <v>845</v>
      </c>
      <c r="D833" t="s">
        <v>10</v>
      </c>
      <c r="E833">
        <v>47</v>
      </c>
      <c r="F833" s="2" t="s">
        <v>11</v>
      </c>
      <c r="G833">
        <v>4</v>
      </c>
      <c r="H833">
        <v>500</v>
      </c>
      <c r="I833">
        <v>2000</v>
      </c>
    </row>
    <row r="834" spans="1:9">
      <c r="A834" s="2">
        <v>833</v>
      </c>
      <c r="B834" s="1">
        <v>45093</v>
      </c>
      <c r="C834" t="s">
        <v>846</v>
      </c>
      <c r="D834" t="s">
        <v>10</v>
      </c>
      <c r="E834">
        <v>42</v>
      </c>
      <c r="F834" s="2" t="s">
        <v>11</v>
      </c>
      <c r="G834">
        <v>4</v>
      </c>
      <c r="H834">
        <v>50</v>
      </c>
      <c r="I834">
        <v>200</v>
      </c>
    </row>
    <row r="835" spans="1:9">
      <c r="A835" s="2">
        <v>834</v>
      </c>
      <c r="B835" s="1">
        <v>45020</v>
      </c>
      <c r="C835" t="s">
        <v>847</v>
      </c>
      <c r="D835" t="s">
        <v>13</v>
      </c>
      <c r="E835">
        <v>56</v>
      </c>
      <c r="F835" s="2" t="s">
        <v>11</v>
      </c>
      <c r="G835">
        <v>2</v>
      </c>
      <c r="H835">
        <v>30</v>
      </c>
      <c r="I835">
        <v>60</v>
      </c>
    </row>
    <row r="836" spans="1:9">
      <c r="A836" s="2">
        <v>835</v>
      </c>
      <c r="B836" s="1">
        <v>45176</v>
      </c>
      <c r="C836" t="s">
        <v>848</v>
      </c>
      <c r="D836" t="s">
        <v>10</v>
      </c>
      <c r="E836">
        <v>37</v>
      </c>
      <c r="F836" s="2" t="s">
        <v>14</v>
      </c>
      <c r="G836">
        <v>4</v>
      </c>
      <c r="H836">
        <v>50</v>
      </c>
      <c r="I836">
        <v>200</v>
      </c>
    </row>
    <row r="837" spans="1:9">
      <c r="A837" s="2">
        <v>836</v>
      </c>
      <c r="B837" s="1">
        <v>45035</v>
      </c>
      <c r="C837" t="s">
        <v>849</v>
      </c>
      <c r="D837" t="s">
        <v>13</v>
      </c>
      <c r="E837">
        <v>22</v>
      </c>
      <c r="F837" s="2" t="s">
        <v>14</v>
      </c>
      <c r="G837">
        <v>1</v>
      </c>
      <c r="H837">
        <v>50</v>
      </c>
      <c r="I837">
        <v>50</v>
      </c>
    </row>
    <row r="838" spans="1:9">
      <c r="A838" s="2">
        <v>837</v>
      </c>
      <c r="B838" s="1">
        <v>45108</v>
      </c>
      <c r="C838" t="s">
        <v>850</v>
      </c>
      <c r="D838" t="s">
        <v>10</v>
      </c>
      <c r="E838">
        <v>18</v>
      </c>
      <c r="F838" s="2" t="s">
        <v>11</v>
      </c>
      <c r="G838">
        <v>3</v>
      </c>
      <c r="H838">
        <v>30</v>
      </c>
      <c r="I838">
        <v>90</v>
      </c>
    </row>
    <row r="839" spans="1:9">
      <c r="A839" s="2">
        <v>838</v>
      </c>
      <c r="B839" s="1">
        <v>45059</v>
      </c>
      <c r="C839" t="s">
        <v>851</v>
      </c>
      <c r="D839" t="s">
        <v>10</v>
      </c>
      <c r="E839">
        <v>47</v>
      </c>
      <c r="F839" s="2" t="s">
        <v>16</v>
      </c>
      <c r="G839">
        <v>2</v>
      </c>
      <c r="H839">
        <v>300</v>
      </c>
      <c r="I839">
        <v>600</v>
      </c>
    </row>
    <row r="840" spans="1:9">
      <c r="A840" s="2">
        <v>839</v>
      </c>
      <c r="B840" s="1">
        <v>45101</v>
      </c>
      <c r="C840" t="s">
        <v>852</v>
      </c>
      <c r="D840" t="s">
        <v>13</v>
      </c>
      <c r="E840">
        <v>20</v>
      </c>
      <c r="F840" s="2" t="s">
        <v>16</v>
      </c>
      <c r="G840">
        <v>4</v>
      </c>
      <c r="H840">
        <v>300</v>
      </c>
      <c r="I840">
        <v>1200</v>
      </c>
    </row>
    <row r="841" spans="1:9">
      <c r="A841" s="2">
        <v>840</v>
      </c>
      <c r="B841" s="1">
        <v>45070</v>
      </c>
      <c r="C841" t="s">
        <v>853</v>
      </c>
      <c r="D841" t="s">
        <v>10</v>
      </c>
      <c r="E841">
        <v>62</v>
      </c>
      <c r="F841" s="2" t="s">
        <v>14</v>
      </c>
      <c r="G841">
        <v>2</v>
      </c>
      <c r="H841">
        <v>25</v>
      </c>
      <c r="I841">
        <v>50</v>
      </c>
    </row>
    <row r="842" spans="1:9">
      <c r="A842" s="2">
        <v>841</v>
      </c>
      <c r="B842" s="1">
        <v>45232</v>
      </c>
      <c r="C842" t="s">
        <v>854</v>
      </c>
      <c r="D842" t="s">
        <v>10</v>
      </c>
      <c r="E842">
        <v>31</v>
      </c>
      <c r="F842" s="2" t="s">
        <v>16</v>
      </c>
      <c r="G842">
        <v>4</v>
      </c>
      <c r="H842">
        <v>25</v>
      </c>
      <c r="I842">
        <v>100</v>
      </c>
    </row>
    <row r="843" spans="1:9">
      <c r="A843" s="2">
        <v>842</v>
      </c>
      <c r="B843" s="1">
        <v>45286</v>
      </c>
      <c r="C843" t="s">
        <v>855</v>
      </c>
      <c r="D843" t="s">
        <v>13</v>
      </c>
      <c r="E843">
        <v>47</v>
      </c>
      <c r="F843" s="2" t="s">
        <v>14</v>
      </c>
      <c r="G843">
        <v>2</v>
      </c>
      <c r="H843">
        <v>300</v>
      </c>
      <c r="I843">
        <v>600</v>
      </c>
    </row>
    <row r="844" spans="1:9">
      <c r="A844" s="2">
        <v>843</v>
      </c>
      <c r="B844" s="1">
        <v>45068</v>
      </c>
      <c r="C844" t="s">
        <v>856</v>
      </c>
      <c r="D844" t="s">
        <v>10</v>
      </c>
      <c r="E844">
        <v>21</v>
      </c>
      <c r="F844" s="2" t="s">
        <v>11</v>
      </c>
      <c r="G844">
        <v>3</v>
      </c>
      <c r="H844">
        <v>500</v>
      </c>
      <c r="I844">
        <v>1500</v>
      </c>
    </row>
    <row r="845" spans="1:9">
      <c r="A845" s="2">
        <v>844</v>
      </c>
      <c r="B845" s="1">
        <v>45211</v>
      </c>
      <c r="C845" t="s">
        <v>857</v>
      </c>
      <c r="D845" t="s">
        <v>10</v>
      </c>
      <c r="E845">
        <v>35</v>
      </c>
      <c r="F845" s="2" t="s">
        <v>14</v>
      </c>
      <c r="G845">
        <v>3</v>
      </c>
      <c r="H845">
        <v>50</v>
      </c>
      <c r="I845">
        <v>150</v>
      </c>
    </row>
    <row r="846" spans="1:9">
      <c r="A846" s="2">
        <v>845</v>
      </c>
      <c r="B846" s="1">
        <v>44932</v>
      </c>
      <c r="C846" t="s">
        <v>858</v>
      </c>
      <c r="D846" t="s">
        <v>10</v>
      </c>
      <c r="E846">
        <v>54</v>
      </c>
      <c r="F846" s="2" t="s">
        <v>14</v>
      </c>
      <c r="G846">
        <v>1</v>
      </c>
      <c r="H846">
        <v>500</v>
      </c>
      <c r="I846">
        <v>500</v>
      </c>
    </row>
    <row r="847" spans="1:9">
      <c r="A847" s="2">
        <v>846</v>
      </c>
      <c r="B847" s="1">
        <v>45191</v>
      </c>
      <c r="C847" t="s">
        <v>859</v>
      </c>
      <c r="D847" t="s">
        <v>10</v>
      </c>
      <c r="E847">
        <v>42</v>
      </c>
      <c r="F847" s="2" t="s">
        <v>11</v>
      </c>
      <c r="G847">
        <v>1</v>
      </c>
      <c r="H847">
        <v>50</v>
      </c>
      <c r="I847">
        <v>50</v>
      </c>
    </row>
    <row r="848" spans="1:9">
      <c r="A848" s="2">
        <v>847</v>
      </c>
      <c r="B848" s="1">
        <v>45024</v>
      </c>
      <c r="C848" t="s">
        <v>860</v>
      </c>
      <c r="D848" t="s">
        <v>13</v>
      </c>
      <c r="E848">
        <v>18</v>
      </c>
      <c r="F848" s="2" t="s">
        <v>16</v>
      </c>
      <c r="G848">
        <v>4</v>
      </c>
      <c r="H848">
        <v>300</v>
      </c>
      <c r="I848">
        <v>1200</v>
      </c>
    </row>
    <row r="849" spans="1:9">
      <c r="A849" s="2">
        <v>848</v>
      </c>
      <c r="B849" s="1">
        <v>44970</v>
      </c>
      <c r="C849" t="s">
        <v>861</v>
      </c>
      <c r="D849" t="s">
        <v>13</v>
      </c>
      <c r="E849">
        <v>63</v>
      </c>
      <c r="F849" s="2" t="s">
        <v>14</v>
      </c>
      <c r="G849">
        <v>3</v>
      </c>
      <c r="H849">
        <v>25</v>
      </c>
      <c r="I849">
        <v>75</v>
      </c>
    </row>
    <row r="850" spans="1:9">
      <c r="A850" s="2">
        <v>849</v>
      </c>
      <c r="B850" s="1">
        <v>45050</v>
      </c>
      <c r="C850" t="s">
        <v>862</v>
      </c>
      <c r="D850" t="s">
        <v>10</v>
      </c>
      <c r="E850">
        <v>32</v>
      </c>
      <c r="F850" s="2" t="s">
        <v>14</v>
      </c>
      <c r="G850">
        <v>2</v>
      </c>
      <c r="H850">
        <v>25</v>
      </c>
      <c r="I850">
        <v>50</v>
      </c>
    </row>
    <row r="851" spans="1:9">
      <c r="A851" s="2">
        <v>850</v>
      </c>
      <c r="B851" s="1">
        <v>45135</v>
      </c>
      <c r="C851" t="s">
        <v>863</v>
      </c>
      <c r="D851" t="s">
        <v>13</v>
      </c>
      <c r="E851">
        <v>26</v>
      </c>
      <c r="F851" s="2" t="s">
        <v>11</v>
      </c>
      <c r="G851">
        <v>2</v>
      </c>
      <c r="H851">
        <v>500</v>
      </c>
      <c r="I851">
        <v>1000</v>
      </c>
    </row>
    <row r="852" spans="1:9">
      <c r="A852" s="2">
        <v>851</v>
      </c>
      <c r="B852" s="1">
        <v>45177</v>
      </c>
      <c r="C852" t="s">
        <v>864</v>
      </c>
      <c r="D852" t="s">
        <v>10</v>
      </c>
      <c r="E852">
        <v>32</v>
      </c>
      <c r="F852" s="2" t="s">
        <v>16</v>
      </c>
      <c r="G852">
        <v>2</v>
      </c>
      <c r="H852">
        <v>25</v>
      </c>
      <c r="I852">
        <v>50</v>
      </c>
    </row>
    <row r="853" spans="1:9">
      <c r="A853" s="2">
        <v>852</v>
      </c>
      <c r="B853" s="1">
        <v>45211</v>
      </c>
      <c r="C853" t="s">
        <v>865</v>
      </c>
      <c r="D853" t="s">
        <v>13</v>
      </c>
      <c r="E853">
        <v>41</v>
      </c>
      <c r="F853" s="2" t="s">
        <v>14</v>
      </c>
      <c r="G853">
        <v>1</v>
      </c>
      <c r="H853">
        <v>300</v>
      </c>
      <c r="I853">
        <v>300</v>
      </c>
    </row>
    <row r="854" spans="1:9">
      <c r="A854" s="2">
        <v>853</v>
      </c>
      <c r="B854" s="1">
        <v>45050</v>
      </c>
      <c r="C854" t="s">
        <v>866</v>
      </c>
      <c r="D854" t="s">
        <v>10</v>
      </c>
      <c r="E854">
        <v>21</v>
      </c>
      <c r="F854" s="2" t="s">
        <v>11</v>
      </c>
      <c r="G854">
        <v>2</v>
      </c>
      <c r="H854">
        <v>500</v>
      </c>
      <c r="I854">
        <v>1000</v>
      </c>
    </row>
    <row r="855" spans="1:9">
      <c r="A855" s="2">
        <v>854</v>
      </c>
      <c r="B855" s="1">
        <v>45280</v>
      </c>
      <c r="C855" t="s">
        <v>867</v>
      </c>
      <c r="D855" t="s">
        <v>10</v>
      </c>
      <c r="E855">
        <v>29</v>
      </c>
      <c r="F855" s="2" t="s">
        <v>14</v>
      </c>
      <c r="G855">
        <v>1</v>
      </c>
      <c r="H855">
        <v>50</v>
      </c>
      <c r="I855">
        <v>50</v>
      </c>
    </row>
    <row r="856" spans="1:9">
      <c r="A856" s="2">
        <v>855</v>
      </c>
      <c r="B856" s="1">
        <v>45170</v>
      </c>
      <c r="C856" t="s">
        <v>868</v>
      </c>
      <c r="D856" t="s">
        <v>10</v>
      </c>
      <c r="E856">
        <v>54</v>
      </c>
      <c r="F856" s="2" t="s">
        <v>11</v>
      </c>
      <c r="G856">
        <v>1</v>
      </c>
      <c r="H856">
        <v>25</v>
      </c>
      <c r="I856">
        <v>25</v>
      </c>
    </row>
    <row r="857" spans="1:9">
      <c r="A857" s="2">
        <v>856</v>
      </c>
      <c r="B857" s="1">
        <v>45257</v>
      </c>
      <c r="C857" t="s">
        <v>869</v>
      </c>
      <c r="D857" t="s">
        <v>10</v>
      </c>
      <c r="E857">
        <v>54</v>
      </c>
      <c r="F857" s="2" t="s">
        <v>16</v>
      </c>
      <c r="G857">
        <v>4</v>
      </c>
      <c r="H857">
        <v>30</v>
      </c>
      <c r="I857">
        <v>120</v>
      </c>
    </row>
    <row r="858" spans="1:9">
      <c r="A858" s="2">
        <v>857</v>
      </c>
      <c r="B858" s="1">
        <v>45291</v>
      </c>
      <c r="C858" t="s">
        <v>870</v>
      </c>
      <c r="D858" t="s">
        <v>10</v>
      </c>
      <c r="E858">
        <v>60</v>
      </c>
      <c r="F858" s="2" t="s">
        <v>16</v>
      </c>
      <c r="G858">
        <v>2</v>
      </c>
      <c r="H858">
        <v>25</v>
      </c>
      <c r="I858">
        <v>50</v>
      </c>
    </row>
    <row r="859" spans="1:9">
      <c r="A859" s="2">
        <v>858</v>
      </c>
      <c r="B859" s="1">
        <v>45178</v>
      </c>
      <c r="C859" t="s">
        <v>871</v>
      </c>
      <c r="D859" t="s">
        <v>10</v>
      </c>
      <c r="E859">
        <v>23</v>
      </c>
      <c r="F859" s="2" t="s">
        <v>16</v>
      </c>
      <c r="G859">
        <v>2</v>
      </c>
      <c r="H859">
        <v>50</v>
      </c>
      <c r="I859">
        <v>100</v>
      </c>
    </row>
    <row r="860" spans="1:9">
      <c r="A860" s="2">
        <v>859</v>
      </c>
      <c r="B860" s="1">
        <v>45156</v>
      </c>
      <c r="C860" t="s">
        <v>872</v>
      </c>
      <c r="D860" t="s">
        <v>13</v>
      </c>
      <c r="E860">
        <v>56</v>
      </c>
      <c r="F860" s="2" t="s">
        <v>16</v>
      </c>
      <c r="G860">
        <v>3</v>
      </c>
      <c r="H860">
        <v>500</v>
      </c>
      <c r="I860">
        <v>1500</v>
      </c>
    </row>
    <row r="861" spans="1:9">
      <c r="A861" s="2">
        <v>860</v>
      </c>
      <c r="B861" s="1">
        <v>44935</v>
      </c>
      <c r="C861" t="s">
        <v>873</v>
      </c>
      <c r="D861" t="s">
        <v>10</v>
      </c>
      <c r="E861">
        <v>63</v>
      </c>
      <c r="F861" s="2" t="s">
        <v>14</v>
      </c>
      <c r="G861">
        <v>4</v>
      </c>
      <c r="H861">
        <v>50</v>
      </c>
      <c r="I861">
        <v>200</v>
      </c>
    </row>
    <row r="862" spans="1:9">
      <c r="A862" s="2">
        <v>861</v>
      </c>
      <c r="B862" s="1">
        <v>44974</v>
      </c>
      <c r="C862" t="s">
        <v>874</v>
      </c>
      <c r="D862" t="s">
        <v>13</v>
      </c>
      <c r="E862">
        <v>41</v>
      </c>
      <c r="F862" s="2" t="s">
        <v>14</v>
      </c>
      <c r="G862">
        <v>3</v>
      </c>
      <c r="H862">
        <v>30</v>
      </c>
      <c r="I862">
        <v>90</v>
      </c>
    </row>
    <row r="863" spans="1:9">
      <c r="A863" s="2">
        <v>862</v>
      </c>
      <c r="B863" s="1">
        <v>45077</v>
      </c>
      <c r="C863" t="s">
        <v>875</v>
      </c>
      <c r="D863" t="s">
        <v>10</v>
      </c>
      <c r="E863">
        <v>28</v>
      </c>
      <c r="F863" s="2" t="s">
        <v>16</v>
      </c>
      <c r="G863">
        <v>4</v>
      </c>
      <c r="H863">
        <v>300</v>
      </c>
      <c r="I863">
        <v>1200</v>
      </c>
    </row>
    <row r="864" spans="1:9">
      <c r="A864" s="2">
        <v>863</v>
      </c>
      <c r="B864" s="1">
        <v>45040</v>
      </c>
      <c r="C864" t="s">
        <v>876</v>
      </c>
      <c r="D864" t="s">
        <v>13</v>
      </c>
      <c r="E864">
        <v>30</v>
      </c>
      <c r="F864" s="2" t="s">
        <v>16</v>
      </c>
      <c r="G864">
        <v>2</v>
      </c>
      <c r="H864">
        <v>25</v>
      </c>
      <c r="I864">
        <v>50</v>
      </c>
    </row>
    <row r="865" spans="1:9">
      <c r="A865" s="2">
        <v>864</v>
      </c>
      <c r="B865" s="1">
        <v>45134</v>
      </c>
      <c r="C865" t="s">
        <v>877</v>
      </c>
      <c r="D865" t="s">
        <v>13</v>
      </c>
      <c r="E865">
        <v>51</v>
      </c>
      <c r="F865" s="2" t="s">
        <v>16</v>
      </c>
      <c r="G865">
        <v>1</v>
      </c>
      <c r="H865">
        <v>500</v>
      </c>
      <c r="I865">
        <v>500</v>
      </c>
    </row>
    <row r="866" spans="1:9">
      <c r="A866" s="2">
        <v>865</v>
      </c>
      <c r="B866" s="1">
        <v>45281</v>
      </c>
      <c r="C866" t="s">
        <v>878</v>
      </c>
      <c r="D866" t="s">
        <v>13</v>
      </c>
      <c r="E866">
        <v>42</v>
      </c>
      <c r="F866" s="2" t="s">
        <v>14</v>
      </c>
      <c r="G866">
        <v>1</v>
      </c>
      <c r="H866">
        <v>300</v>
      </c>
      <c r="I866">
        <v>300</v>
      </c>
    </row>
    <row r="867" spans="1:9">
      <c r="A867" s="2">
        <v>866</v>
      </c>
      <c r="B867" s="1">
        <v>45051</v>
      </c>
      <c r="C867" t="s">
        <v>879</v>
      </c>
      <c r="D867" t="s">
        <v>10</v>
      </c>
      <c r="E867">
        <v>24</v>
      </c>
      <c r="F867" s="2" t="s">
        <v>16</v>
      </c>
      <c r="G867">
        <v>1</v>
      </c>
      <c r="H867">
        <v>50</v>
      </c>
      <c r="I867">
        <v>50</v>
      </c>
    </row>
    <row r="868" spans="1:9">
      <c r="A868" s="2">
        <v>867</v>
      </c>
      <c r="B868" s="1">
        <v>45083</v>
      </c>
      <c r="C868" t="s">
        <v>880</v>
      </c>
      <c r="D868" t="s">
        <v>10</v>
      </c>
      <c r="E868">
        <v>21</v>
      </c>
      <c r="F868" s="2" t="s">
        <v>16</v>
      </c>
      <c r="G868">
        <v>1</v>
      </c>
      <c r="H868">
        <v>500</v>
      </c>
      <c r="I868">
        <v>500</v>
      </c>
    </row>
    <row r="869" spans="1:9">
      <c r="A869" s="2">
        <v>868</v>
      </c>
      <c r="B869" s="1">
        <v>45266</v>
      </c>
      <c r="C869" t="s">
        <v>881</v>
      </c>
      <c r="D869" t="s">
        <v>13</v>
      </c>
      <c r="E869">
        <v>25</v>
      </c>
      <c r="F869" s="2" t="s">
        <v>16</v>
      </c>
      <c r="G869">
        <v>1</v>
      </c>
      <c r="H869">
        <v>300</v>
      </c>
      <c r="I869">
        <v>300</v>
      </c>
    </row>
    <row r="870" spans="1:9">
      <c r="A870" s="2">
        <v>869</v>
      </c>
      <c r="B870" s="1">
        <v>45224</v>
      </c>
      <c r="C870" t="s">
        <v>882</v>
      </c>
      <c r="D870" t="s">
        <v>10</v>
      </c>
      <c r="E870">
        <v>37</v>
      </c>
      <c r="F870" s="2" t="s">
        <v>11</v>
      </c>
      <c r="G870">
        <v>3</v>
      </c>
      <c r="H870">
        <v>500</v>
      </c>
      <c r="I870">
        <v>1500</v>
      </c>
    </row>
    <row r="871" spans="1:9">
      <c r="A871" s="2">
        <v>870</v>
      </c>
      <c r="B871" s="1">
        <v>45115</v>
      </c>
      <c r="C871" t="s">
        <v>883</v>
      </c>
      <c r="D871" t="s">
        <v>13</v>
      </c>
      <c r="E871">
        <v>46</v>
      </c>
      <c r="F871" s="2" t="s">
        <v>16</v>
      </c>
      <c r="G871">
        <v>4</v>
      </c>
      <c r="H871">
        <v>30</v>
      </c>
      <c r="I871">
        <v>120</v>
      </c>
    </row>
    <row r="872" spans="1:9">
      <c r="A872" s="2">
        <v>871</v>
      </c>
      <c r="B872" s="1">
        <v>45169</v>
      </c>
      <c r="C872" t="s">
        <v>884</v>
      </c>
      <c r="D872" t="s">
        <v>10</v>
      </c>
      <c r="E872">
        <v>62</v>
      </c>
      <c r="F872" s="2" t="s">
        <v>11</v>
      </c>
      <c r="G872">
        <v>2</v>
      </c>
      <c r="H872">
        <v>30</v>
      </c>
      <c r="I872">
        <v>60</v>
      </c>
    </row>
    <row r="873" spans="1:9">
      <c r="A873" s="2">
        <v>872</v>
      </c>
      <c r="B873" s="1">
        <v>45210</v>
      </c>
      <c r="C873" t="s">
        <v>885</v>
      </c>
      <c r="D873" t="s">
        <v>13</v>
      </c>
      <c r="E873">
        <v>63</v>
      </c>
      <c r="F873" s="2" t="s">
        <v>11</v>
      </c>
      <c r="G873">
        <v>3</v>
      </c>
      <c r="H873">
        <v>25</v>
      </c>
      <c r="I873">
        <v>75</v>
      </c>
    </row>
    <row r="874" spans="1:9">
      <c r="A874" s="2">
        <v>873</v>
      </c>
      <c r="B874" s="1">
        <v>45198</v>
      </c>
      <c r="C874" t="s">
        <v>886</v>
      </c>
      <c r="D874" t="s">
        <v>13</v>
      </c>
      <c r="E874">
        <v>27</v>
      </c>
      <c r="F874" s="2" t="s">
        <v>16</v>
      </c>
      <c r="G874">
        <v>4</v>
      </c>
      <c r="H874">
        <v>25</v>
      </c>
      <c r="I874">
        <v>100</v>
      </c>
    </row>
    <row r="875" spans="1:9">
      <c r="A875" s="2">
        <v>874</v>
      </c>
      <c r="B875" s="1">
        <v>45103</v>
      </c>
      <c r="C875" t="s">
        <v>887</v>
      </c>
      <c r="D875" t="s">
        <v>10</v>
      </c>
      <c r="E875">
        <v>60</v>
      </c>
      <c r="F875" s="2" t="s">
        <v>11</v>
      </c>
      <c r="G875">
        <v>1</v>
      </c>
      <c r="H875">
        <v>30</v>
      </c>
      <c r="I875">
        <v>30</v>
      </c>
    </row>
    <row r="876" spans="1:9">
      <c r="A876" s="2">
        <v>875</v>
      </c>
      <c r="B876" s="1">
        <v>45144</v>
      </c>
      <c r="C876" t="s">
        <v>888</v>
      </c>
      <c r="D876" t="s">
        <v>13</v>
      </c>
      <c r="E876">
        <v>51</v>
      </c>
      <c r="F876" s="2" t="s">
        <v>16</v>
      </c>
      <c r="G876">
        <v>4</v>
      </c>
      <c r="H876">
        <v>500</v>
      </c>
      <c r="I876">
        <v>2000</v>
      </c>
    </row>
    <row r="877" spans="1:9">
      <c r="A877" s="2">
        <v>876</v>
      </c>
      <c r="B877" s="1">
        <v>45208</v>
      </c>
      <c r="C877" t="s">
        <v>889</v>
      </c>
      <c r="D877" t="s">
        <v>10</v>
      </c>
      <c r="E877">
        <v>43</v>
      </c>
      <c r="F877" s="2" t="s">
        <v>14</v>
      </c>
      <c r="G877">
        <v>4</v>
      </c>
      <c r="H877">
        <v>30</v>
      </c>
      <c r="I877">
        <v>120</v>
      </c>
    </row>
    <row r="878" spans="1:9">
      <c r="A878" s="2">
        <v>877</v>
      </c>
      <c r="B878" s="1">
        <v>45096</v>
      </c>
      <c r="C878" t="s">
        <v>890</v>
      </c>
      <c r="D878" t="s">
        <v>13</v>
      </c>
      <c r="E878">
        <v>58</v>
      </c>
      <c r="F878" s="2" t="s">
        <v>14</v>
      </c>
      <c r="G878">
        <v>1</v>
      </c>
      <c r="H878">
        <v>25</v>
      </c>
      <c r="I878">
        <v>25</v>
      </c>
    </row>
    <row r="879" spans="1:9">
      <c r="A879" s="2">
        <v>878</v>
      </c>
      <c r="B879" s="1">
        <v>45107</v>
      </c>
      <c r="C879" t="s">
        <v>891</v>
      </c>
      <c r="D879" t="s">
        <v>13</v>
      </c>
      <c r="E879">
        <v>20</v>
      </c>
      <c r="F879" s="2" t="s">
        <v>14</v>
      </c>
      <c r="G879">
        <v>1</v>
      </c>
      <c r="H879">
        <v>30</v>
      </c>
      <c r="I879">
        <v>30</v>
      </c>
    </row>
    <row r="880" spans="1:9">
      <c r="A880" s="2">
        <v>879</v>
      </c>
      <c r="B880" s="1">
        <v>45286</v>
      </c>
      <c r="C880" t="s">
        <v>892</v>
      </c>
      <c r="D880" t="s">
        <v>10</v>
      </c>
      <c r="E880">
        <v>23</v>
      </c>
      <c r="F880" s="2" t="s">
        <v>14</v>
      </c>
      <c r="G880">
        <v>1</v>
      </c>
      <c r="H880">
        <v>30</v>
      </c>
      <c r="I880">
        <v>30</v>
      </c>
    </row>
    <row r="881" spans="1:9">
      <c r="A881" s="2">
        <v>880</v>
      </c>
      <c r="B881" s="1">
        <v>45159</v>
      </c>
      <c r="C881" t="s">
        <v>893</v>
      </c>
      <c r="D881" t="s">
        <v>10</v>
      </c>
      <c r="E881">
        <v>22</v>
      </c>
      <c r="F881" s="2" t="s">
        <v>11</v>
      </c>
      <c r="G881">
        <v>2</v>
      </c>
      <c r="H881">
        <v>500</v>
      </c>
      <c r="I881">
        <v>1000</v>
      </c>
    </row>
    <row r="882" spans="1:9">
      <c r="A882" s="2">
        <v>881</v>
      </c>
      <c r="B882" s="1">
        <v>45065</v>
      </c>
      <c r="C882" t="s">
        <v>894</v>
      </c>
      <c r="D882" t="s">
        <v>10</v>
      </c>
      <c r="E882">
        <v>22</v>
      </c>
      <c r="F882" s="2" t="s">
        <v>16</v>
      </c>
      <c r="G882">
        <v>1</v>
      </c>
      <c r="H882">
        <v>300</v>
      </c>
      <c r="I882">
        <v>300</v>
      </c>
    </row>
    <row r="883" spans="1:9">
      <c r="A883" s="2">
        <v>882</v>
      </c>
      <c r="B883" s="1">
        <v>45083</v>
      </c>
      <c r="C883" t="s">
        <v>895</v>
      </c>
      <c r="D883" t="s">
        <v>13</v>
      </c>
      <c r="E883">
        <v>64</v>
      </c>
      <c r="F883" s="2" t="s">
        <v>16</v>
      </c>
      <c r="G883">
        <v>2</v>
      </c>
      <c r="H883">
        <v>25</v>
      </c>
      <c r="I883">
        <v>50</v>
      </c>
    </row>
    <row r="884" spans="1:9">
      <c r="A884" s="2">
        <v>883</v>
      </c>
      <c r="B884" s="1">
        <v>45055</v>
      </c>
      <c r="C884" t="s">
        <v>896</v>
      </c>
      <c r="D884" t="s">
        <v>10</v>
      </c>
      <c r="E884">
        <v>40</v>
      </c>
      <c r="F884" s="2" t="s">
        <v>16</v>
      </c>
      <c r="G884">
        <v>1</v>
      </c>
      <c r="H884">
        <v>500</v>
      </c>
      <c r="I884">
        <v>500</v>
      </c>
    </row>
    <row r="885" spans="1:9">
      <c r="A885" s="2">
        <v>884</v>
      </c>
      <c r="B885" s="1">
        <v>45045</v>
      </c>
      <c r="C885" t="s">
        <v>897</v>
      </c>
      <c r="D885" t="s">
        <v>13</v>
      </c>
      <c r="E885">
        <v>26</v>
      </c>
      <c r="F885" s="2" t="s">
        <v>14</v>
      </c>
      <c r="G885">
        <v>2</v>
      </c>
      <c r="H885">
        <v>30</v>
      </c>
      <c r="I885">
        <v>60</v>
      </c>
    </row>
    <row r="886" spans="1:9">
      <c r="A886" s="2">
        <v>885</v>
      </c>
      <c r="B886" s="1">
        <v>44988</v>
      </c>
      <c r="C886" t="s">
        <v>898</v>
      </c>
      <c r="D886" t="s">
        <v>13</v>
      </c>
      <c r="E886">
        <v>52</v>
      </c>
      <c r="F886" s="2" t="s">
        <v>14</v>
      </c>
      <c r="G886">
        <v>4</v>
      </c>
      <c r="H886">
        <v>30</v>
      </c>
      <c r="I886">
        <v>120</v>
      </c>
    </row>
    <row r="887" spans="1:9">
      <c r="A887" s="2">
        <v>886</v>
      </c>
      <c r="B887" s="1">
        <v>45025</v>
      </c>
      <c r="C887" t="s">
        <v>899</v>
      </c>
      <c r="D887" t="s">
        <v>10</v>
      </c>
      <c r="E887">
        <v>37</v>
      </c>
      <c r="F887" s="2" t="s">
        <v>16</v>
      </c>
      <c r="G887">
        <v>3</v>
      </c>
      <c r="H887">
        <v>300</v>
      </c>
      <c r="I887">
        <v>900</v>
      </c>
    </row>
    <row r="888" spans="1:9">
      <c r="A888" s="2">
        <v>887</v>
      </c>
      <c r="B888" s="1">
        <v>45088</v>
      </c>
      <c r="C888" t="s">
        <v>900</v>
      </c>
      <c r="D888" t="s">
        <v>10</v>
      </c>
      <c r="E888">
        <v>59</v>
      </c>
      <c r="F888" s="2" t="s">
        <v>14</v>
      </c>
      <c r="G888">
        <v>4</v>
      </c>
      <c r="H888">
        <v>25</v>
      </c>
      <c r="I888">
        <v>100</v>
      </c>
    </row>
    <row r="889" spans="1:9">
      <c r="A889" s="2">
        <v>888</v>
      </c>
      <c r="B889" s="1">
        <v>44988</v>
      </c>
      <c r="C889" t="s">
        <v>901</v>
      </c>
      <c r="D889" t="s">
        <v>13</v>
      </c>
      <c r="E889">
        <v>52</v>
      </c>
      <c r="F889" s="2" t="s">
        <v>16</v>
      </c>
      <c r="G889">
        <v>4</v>
      </c>
      <c r="H889">
        <v>25</v>
      </c>
      <c r="I889">
        <v>100</v>
      </c>
    </row>
    <row r="890" spans="1:9">
      <c r="A890" s="2">
        <v>889</v>
      </c>
      <c r="B890" s="1">
        <v>45201</v>
      </c>
      <c r="C890" t="s">
        <v>902</v>
      </c>
      <c r="D890" t="s">
        <v>13</v>
      </c>
      <c r="E890">
        <v>35</v>
      </c>
      <c r="F890" s="2" t="s">
        <v>16</v>
      </c>
      <c r="G890">
        <v>1</v>
      </c>
      <c r="H890">
        <v>50</v>
      </c>
      <c r="I890">
        <v>50</v>
      </c>
    </row>
    <row r="891" spans="1:9">
      <c r="A891" s="2">
        <v>890</v>
      </c>
      <c r="B891" s="1">
        <v>45280</v>
      </c>
      <c r="C891" t="s">
        <v>903</v>
      </c>
      <c r="D891" t="s">
        <v>10</v>
      </c>
      <c r="E891">
        <v>34</v>
      </c>
      <c r="F891" s="2" t="s">
        <v>16</v>
      </c>
      <c r="G891">
        <v>2</v>
      </c>
      <c r="H891">
        <v>25</v>
      </c>
      <c r="I891">
        <v>50</v>
      </c>
    </row>
    <row r="892" spans="1:9">
      <c r="A892" s="2">
        <v>891</v>
      </c>
      <c r="B892" s="1">
        <v>45021</v>
      </c>
      <c r="C892" t="s">
        <v>904</v>
      </c>
      <c r="D892" t="s">
        <v>10</v>
      </c>
      <c r="E892">
        <v>41</v>
      </c>
      <c r="F892" s="2" t="s">
        <v>16</v>
      </c>
      <c r="G892">
        <v>3</v>
      </c>
      <c r="H892">
        <v>300</v>
      </c>
      <c r="I892">
        <v>900</v>
      </c>
    </row>
    <row r="893" spans="1:9">
      <c r="A893" s="2">
        <v>892</v>
      </c>
      <c r="B893" s="1">
        <v>45025</v>
      </c>
      <c r="C893" t="s">
        <v>905</v>
      </c>
      <c r="D893" t="s">
        <v>10</v>
      </c>
      <c r="E893">
        <v>20</v>
      </c>
      <c r="F893" s="2" t="s">
        <v>16</v>
      </c>
      <c r="G893">
        <v>1</v>
      </c>
      <c r="H893">
        <v>50</v>
      </c>
      <c r="I893">
        <v>50</v>
      </c>
    </row>
    <row r="894" spans="1:9">
      <c r="A894" s="2">
        <v>893</v>
      </c>
      <c r="B894" s="1">
        <v>45037</v>
      </c>
      <c r="C894" t="s">
        <v>906</v>
      </c>
      <c r="D894" t="s">
        <v>10</v>
      </c>
      <c r="E894">
        <v>49</v>
      </c>
      <c r="F894" s="2" t="s">
        <v>16</v>
      </c>
      <c r="G894">
        <v>1</v>
      </c>
      <c r="H894">
        <v>50</v>
      </c>
      <c r="I894">
        <v>50</v>
      </c>
    </row>
    <row r="895" spans="1:9">
      <c r="A895" s="2">
        <v>894</v>
      </c>
      <c r="B895" s="1">
        <v>45174</v>
      </c>
      <c r="C895" t="s">
        <v>907</v>
      </c>
      <c r="D895" t="s">
        <v>10</v>
      </c>
      <c r="E895">
        <v>52</v>
      </c>
      <c r="F895" s="2" t="s">
        <v>16</v>
      </c>
      <c r="G895">
        <v>1</v>
      </c>
      <c r="H895">
        <v>30</v>
      </c>
      <c r="I895">
        <v>30</v>
      </c>
    </row>
    <row r="896" spans="1:9">
      <c r="A896" s="2">
        <v>895</v>
      </c>
      <c r="B896" s="1">
        <v>45068</v>
      </c>
      <c r="C896" t="s">
        <v>908</v>
      </c>
      <c r="D896" t="s">
        <v>13</v>
      </c>
      <c r="E896">
        <v>55</v>
      </c>
      <c r="F896" s="2" t="s">
        <v>14</v>
      </c>
      <c r="G896">
        <v>4</v>
      </c>
      <c r="H896">
        <v>30</v>
      </c>
      <c r="I896">
        <v>120</v>
      </c>
    </row>
    <row r="897" spans="1:9">
      <c r="A897" s="2">
        <v>896</v>
      </c>
      <c r="B897" s="1">
        <v>45228</v>
      </c>
      <c r="C897" t="s">
        <v>909</v>
      </c>
      <c r="D897" t="s">
        <v>13</v>
      </c>
      <c r="E897">
        <v>30</v>
      </c>
      <c r="F897" s="2" t="s">
        <v>16</v>
      </c>
      <c r="G897">
        <v>2</v>
      </c>
      <c r="H897">
        <v>25</v>
      </c>
      <c r="I897">
        <v>50</v>
      </c>
    </row>
    <row r="898" spans="1:9">
      <c r="A898" s="2">
        <v>897</v>
      </c>
      <c r="B898" s="1">
        <v>45195</v>
      </c>
      <c r="C898" t="s">
        <v>910</v>
      </c>
      <c r="D898" t="s">
        <v>13</v>
      </c>
      <c r="E898">
        <v>64</v>
      </c>
      <c r="F898" s="2" t="s">
        <v>16</v>
      </c>
      <c r="G898">
        <v>2</v>
      </c>
      <c r="H898">
        <v>50</v>
      </c>
      <c r="I898">
        <v>100</v>
      </c>
    </row>
    <row r="899" spans="1:9">
      <c r="A899" s="2">
        <v>898</v>
      </c>
      <c r="B899" s="1">
        <v>45232</v>
      </c>
      <c r="C899" t="s">
        <v>911</v>
      </c>
      <c r="D899" t="s">
        <v>13</v>
      </c>
      <c r="E899">
        <v>42</v>
      </c>
      <c r="F899" s="2" t="s">
        <v>14</v>
      </c>
      <c r="G899">
        <v>3</v>
      </c>
      <c r="H899">
        <v>30</v>
      </c>
      <c r="I899">
        <v>90</v>
      </c>
    </row>
    <row r="900" spans="1:9">
      <c r="A900" s="2">
        <v>899</v>
      </c>
      <c r="B900" s="1">
        <v>45071</v>
      </c>
      <c r="C900" t="s">
        <v>912</v>
      </c>
      <c r="D900" t="s">
        <v>10</v>
      </c>
      <c r="E900">
        <v>26</v>
      </c>
      <c r="F900" s="2" t="s">
        <v>14</v>
      </c>
      <c r="G900">
        <v>2</v>
      </c>
      <c r="H900">
        <v>300</v>
      </c>
      <c r="I900">
        <v>600</v>
      </c>
    </row>
    <row r="901" spans="1:9">
      <c r="A901" s="2">
        <v>900</v>
      </c>
      <c r="B901" s="1">
        <v>44978</v>
      </c>
      <c r="C901" t="s">
        <v>913</v>
      </c>
      <c r="D901" t="s">
        <v>10</v>
      </c>
      <c r="E901">
        <v>21</v>
      </c>
      <c r="F901" s="2" t="s">
        <v>14</v>
      </c>
      <c r="G901">
        <v>2</v>
      </c>
      <c r="H901">
        <v>30</v>
      </c>
      <c r="I901">
        <v>60</v>
      </c>
    </row>
    <row r="902" spans="1:9">
      <c r="A902" s="2">
        <v>901</v>
      </c>
      <c r="B902" s="1">
        <v>45026</v>
      </c>
      <c r="C902" t="s">
        <v>914</v>
      </c>
      <c r="D902" t="s">
        <v>10</v>
      </c>
      <c r="E902">
        <v>31</v>
      </c>
      <c r="F902" s="2" t="s">
        <v>16</v>
      </c>
      <c r="G902">
        <v>1</v>
      </c>
      <c r="H902">
        <v>30</v>
      </c>
      <c r="I902">
        <v>30</v>
      </c>
    </row>
    <row r="903" spans="1:9">
      <c r="A903" s="2">
        <v>902</v>
      </c>
      <c r="B903" s="1">
        <v>45078</v>
      </c>
      <c r="C903" t="s">
        <v>915</v>
      </c>
      <c r="D903" t="s">
        <v>13</v>
      </c>
      <c r="E903">
        <v>54</v>
      </c>
      <c r="F903" s="2" t="s">
        <v>11</v>
      </c>
      <c r="G903">
        <v>1</v>
      </c>
      <c r="H903">
        <v>50</v>
      </c>
      <c r="I903">
        <v>50</v>
      </c>
    </row>
    <row r="904" spans="1:9">
      <c r="A904" s="2">
        <v>903</v>
      </c>
      <c r="B904" s="1">
        <v>45043</v>
      </c>
      <c r="C904" t="s">
        <v>916</v>
      </c>
      <c r="D904" t="s">
        <v>13</v>
      </c>
      <c r="E904">
        <v>51</v>
      </c>
      <c r="F904" s="2" t="s">
        <v>11</v>
      </c>
      <c r="G904">
        <v>4</v>
      </c>
      <c r="H904">
        <v>50</v>
      </c>
      <c r="I904">
        <v>200</v>
      </c>
    </row>
    <row r="905" spans="1:9">
      <c r="A905" s="2">
        <v>904</v>
      </c>
      <c r="B905" s="1">
        <v>45111</v>
      </c>
      <c r="C905" t="s">
        <v>917</v>
      </c>
      <c r="D905" t="s">
        <v>10</v>
      </c>
      <c r="E905">
        <v>28</v>
      </c>
      <c r="F905" s="2" t="s">
        <v>14</v>
      </c>
      <c r="G905">
        <v>1</v>
      </c>
      <c r="H905">
        <v>500</v>
      </c>
      <c r="I905">
        <v>500</v>
      </c>
    </row>
    <row r="906" spans="1:9">
      <c r="A906" s="2">
        <v>905</v>
      </c>
      <c r="B906" s="1">
        <v>45018</v>
      </c>
      <c r="C906" t="s">
        <v>918</v>
      </c>
      <c r="D906" t="s">
        <v>10</v>
      </c>
      <c r="E906">
        <v>58</v>
      </c>
      <c r="F906" s="2" t="s">
        <v>11</v>
      </c>
      <c r="G906">
        <v>1</v>
      </c>
      <c r="H906">
        <v>300</v>
      </c>
      <c r="I906">
        <v>300</v>
      </c>
    </row>
    <row r="907" spans="1:9">
      <c r="A907" s="2">
        <v>906</v>
      </c>
      <c r="B907" s="1">
        <v>45081</v>
      </c>
      <c r="C907" t="s">
        <v>919</v>
      </c>
      <c r="D907" t="s">
        <v>13</v>
      </c>
      <c r="E907">
        <v>20</v>
      </c>
      <c r="F907" s="2" t="s">
        <v>14</v>
      </c>
      <c r="G907">
        <v>1</v>
      </c>
      <c r="H907">
        <v>50</v>
      </c>
      <c r="I907">
        <v>50</v>
      </c>
    </row>
    <row r="908" spans="1:9">
      <c r="A908" s="2">
        <v>907</v>
      </c>
      <c r="B908" s="1">
        <v>44934</v>
      </c>
      <c r="C908" t="s">
        <v>920</v>
      </c>
      <c r="D908" t="s">
        <v>13</v>
      </c>
      <c r="E908">
        <v>45</v>
      </c>
      <c r="F908" s="2" t="s">
        <v>16</v>
      </c>
      <c r="G908">
        <v>1</v>
      </c>
      <c r="H908">
        <v>25</v>
      </c>
      <c r="I908">
        <v>25</v>
      </c>
    </row>
    <row r="909" spans="1:9">
      <c r="A909" s="2">
        <v>908</v>
      </c>
      <c r="B909" s="1">
        <v>45289</v>
      </c>
      <c r="C909" t="s">
        <v>921</v>
      </c>
      <c r="D909" t="s">
        <v>10</v>
      </c>
      <c r="E909">
        <v>46</v>
      </c>
      <c r="F909" s="2" t="s">
        <v>11</v>
      </c>
      <c r="G909">
        <v>4</v>
      </c>
      <c r="H909">
        <v>300</v>
      </c>
      <c r="I909">
        <v>1200</v>
      </c>
    </row>
    <row r="910" spans="1:9">
      <c r="A910" s="2">
        <v>909</v>
      </c>
      <c r="B910" s="1">
        <v>45200</v>
      </c>
      <c r="C910" t="s">
        <v>922</v>
      </c>
      <c r="D910" t="s">
        <v>10</v>
      </c>
      <c r="E910">
        <v>26</v>
      </c>
      <c r="F910" s="2" t="s">
        <v>16</v>
      </c>
      <c r="G910">
        <v>1</v>
      </c>
      <c r="H910">
        <v>300</v>
      </c>
      <c r="I910">
        <v>300</v>
      </c>
    </row>
    <row r="911" spans="1:9">
      <c r="A911" s="2">
        <v>910</v>
      </c>
      <c r="B911" s="1">
        <v>44991</v>
      </c>
      <c r="C911" t="s">
        <v>923</v>
      </c>
      <c r="D911" t="s">
        <v>13</v>
      </c>
      <c r="E911">
        <v>20</v>
      </c>
      <c r="F911" s="2" t="s">
        <v>11</v>
      </c>
      <c r="G911">
        <v>3</v>
      </c>
      <c r="H911">
        <v>50</v>
      </c>
      <c r="I911">
        <v>150</v>
      </c>
    </row>
    <row r="912" spans="1:9">
      <c r="A912" s="2">
        <v>911</v>
      </c>
      <c r="B912" s="1">
        <v>45067</v>
      </c>
      <c r="C912" t="s">
        <v>924</v>
      </c>
      <c r="D912" t="s">
        <v>10</v>
      </c>
      <c r="E912">
        <v>42</v>
      </c>
      <c r="F912" s="2" t="s">
        <v>16</v>
      </c>
      <c r="G912">
        <v>3</v>
      </c>
      <c r="H912">
        <v>300</v>
      </c>
      <c r="I912">
        <v>900</v>
      </c>
    </row>
    <row r="913" spans="1:9">
      <c r="A913" s="2">
        <v>912</v>
      </c>
      <c r="B913" s="1">
        <v>44950</v>
      </c>
      <c r="C913" t="s">
        <v>925</v>
      </c>
      <c r="D913" t="s">
        <v>10</v>
      </c>
      <c r="E913">
        <v>51</v>
      </c>
      <c r="F913" s="2" t="s">
        <v>11</v>
      </c>
      <c r="G913">
        <v>3</v>
      </c>
      <c r="H913">
        <v>50</v>
      </c>
      <c r="I913">
        <v>150</v>
      </c>
    </row>
    <row r="914" spans="1:9">
      <c r="A914" s="2">
        <v>913</v>
      </c>
      <c r="B914" s="1">
        <v>44954</v>
      </c>
      <c r="C914" t="s">
        <v>926</v>
      </c>
      <c r="D914" t="s">
        <v>10</v>
      </c>
      <c r="E914">
        <v>29</v>
      </c>
      <c r="F914" s="2" t="s">
        <v>16</v>
      </c>
      <c r="G914">
        <v>3</v>
      </c>
      <c r="H914">
        <v>30</v>
      </c>
      <c r="I914">
        <v>90</v>
      </c>
    </row>
    <row r="915" spans="1:9">
      <c r="A915" s="2">
        <v>914</v>
      </c>
      <c r="B915" s="1">
        <v>45210</v>
      </c>
      <c r="C915" t="s">
        <v>927</v>
      </c>
      <c r="D915" t="s">
        <v>13</v>
      </c>
      <c r="E915">
        <v>59</v>
      </c>
      <c r="F915" s="2" t="s">
        <v>16</v>
      </c>
      <c r="G915">
        <v>1</v>
      </c>
      <c r="H915">
        <v>500</v>
      </c>
      <c r="I915">
        <v>500</v>
      </c>
    </row>
    <row r="916" spans="1:9">
      <c r="A916" s="2">
        <v>915</v>
      </c>
      <c r="B916" s="1">
        <v>45076</v>
      </c>
      <c r="C916" t="s">
        <v>928</v>
      </c>
      <c r="D916" t="s">
        <v>13</v>
      </c>
      <c r="E916">
        <v>26</v>
      </c>
      <c r="F916" s="2" t="s">
        <v>11</v>
      </c>
      <c r="G916">
        <v>3</v>
      </c>
      <c r="H916">
        <v>30</v>
      </c>
      <c r="I916">
        <v>90</v>
      </c>
    </row>
    <row r="917" spans="1:9">
      <c r="A917" s="2">
        <v>916</v>
      </c>
      <c r="B917" s="1">
        <v>45284</v>
      </c>
      <c r="C917" t="s">
        <v>929</v>
      </c>
      <c r="D917" t="s">
        <v>13</v>
      </c>
      <c r="E917">
        <v>32</v>
      </c>
      <c r="F917" s="2" t="s">
        <v>16</v>
      </c>
      <c r="G917">
        <v>1</v>
      </c>
      <c r="H917">
        <v>50</v>
      </c>
      <c r="I917">
        <v>50</v>
      </c>
    </row>
    <row r="918" spans="1:9">
      <c r="A918" s="2">
        <v>917</v>
      </c>
      <c r="B918" s="1">
        <v>44991</v>
      </c>
      <c r="C918" t="s">
        <v>930</v>
      </c>
      <c r="D918" t="s">
        <v>13</v>
      </c>
      <c r="E918">
        <v>57</v>
      </c>
      <c r="F918" s="2" t="s">
        <v>16</v>
      </c>
      <c r="G918">
        <v>4</v>
      </c>
      <c r="H918">
        <v>50</v>
      </c>
      <c r="I918">
        <v>200</v>
      </c>
    </row>
    <row r="919" spans="1:9">
      <c r="A919" s="2">
        <v>918</v>
      </c>
      <c r="B919" s="1">
        <v>45253</v>
      </c>
      <c r="C919" t="s">
        <v>931</v>
      </c>
      <c r="D919" t="s">
        <v>13</v>
      </c>
      <c r="E919">
        <v>42</v>
      </c>
      <c r="F919" s="2" t="s">
        <v>16</v>
      </c>
      <c r="G919">
        <v>3</v>
      </c>
      <c r="H919">
        <v>30</v>
      </c>
      <c r="I919">
        <v>90</v>
      </c>
    </row>
    <row r="920" spans="1:9">
      <c r="A920" s="2">
        <v>919</v>
      </c>
      <c r="B920" s="1">
        <v>45178</v>
      </c>
      <c r="C920" t="s">
        <v>932</v>
      </c>
      <c r="D920" t="s">
        <v>13</v>
      </c>
      <c r="E920">
        <v>22</v>
      </c>
      <c r="F920" s="2" t="s">
        <v>11</v>
      </c>
      <c r="G920">
        <v>2</v>
      </c>
      <c r="H920">
        <v>25</v>
      </c>
      <c r="I920">
        <v>50</v>
      </c>
    </row>
    <row r="921" spans="1:9">
      <c r="A921" s="2">
        <v>920</v>
      </c>
      <c r="B921" s="1">
        <v>44979</v>
      </c>
      <c r="C921" t="s">
        <v>933</v>
      </c>
      <c r="D921" t="s">
        <v>13</v>
      </c>
      <c r="E921">
        <v>28</v>
      </c>
      <c r="F921" s="2" t="s">
        <v>11</v>
      </c>
      <c r="G921">
        <v>3</v>
      </c>
      <c r="H921">
        <v>25</v>
      </c>
      <c r="I921">
        <v>75</v>
      </c>
    </row>
    <row r="922" spans="1:9">
      <c r="A922" s="2">
        <v>921</v>
      </c>
      <c r="B922" s="1">
        <v>44933</v>
      </c>
      <c r="C922" t="s">
        <v>934</v>
      </c>
      <c r="D922" t="s">
        <v>10</v>
      </c>
      <c r="E922">
        <v>51</v>
      </c>
      <c r="F922" s="2" t="s">
        <v>16</v>
      </c>
      <c r="G922">
        <v>3</v>
      </c>
      <c r="H922">
        <v>25</v>
      </c>
      <c r="I922">
        <v>75</v>
      </c>
    </row>
    <row r="923" spans="1:9">
      <c r="A923" s="2">
        <v>922</v>
      </c>
      <c r="B923" s="1">
        <v>45220</v>
      </c>
      <c r="C923" t="s">
        <v>935</v>
      </c>
      <c r="D923" t="s">
        <v>10</v>
      </c>
      <c r="E923">
        <v>41</v>
      </c>
      <c r="F923" s="2" t="s">
        <v>16</v>
      </c>
      <c r="G923">
        <v>1</v>
      </c>
      <c r="H923">
        <v>50</v>
      </c>
      <c r="I923">
        <v>50</v>
      </c>
    </row>
    <row r="924" spans="1:9">
      <c r="A924" s="2">
        <v>923</v>
      </c>
      <c r="B924" s="1">
        <v>45072</v>
      </c>
      <c r="C924" t="s">
        <v>936</v>
      </c>
      <c r="D924" t="s">
        <v>10</v>
      </c>
      <c r="E924">
        <v>32</v>
      </c>
      <c r="F924" s="2" t="s">
        <v>11</v>
      </c>
      <c r="G924">
        <v>3</v>
      </c>
      <c r="H924">
        <v>300</v>
      </c>
      <c r="I924">
        <v>900</v>
      </c>
    </row>
    <row r="925" spans="1:9">
      <c r="A925" s="2">
        <v>924</v>
      </c>
      <c r="B925" s="1">
        <v>45167</v>
      </c>
      <c r="C925" t="s">
        <v>937</v>
      </c>
      <c r="D925" t="s">
        <v>10</v>
      </c>
      <c r="E925">
        <v>55</v>
      </c>
      <c r="F925" s="2" t="s">
        <v>11</v>
      </c>
      <c r="G925">
        <v>2</v>
      </c>
      <c r="H925">
        <v>50</v>
      </c>
      <c r="I925">
        <v>100</v>
      </c>
    </row>
    <row r="926" spans="1:9">
      <c r="A926" s="2">
        <v>925</v>
      </c>
      <c r="B926" s="1">
        <v>45172</v>
      </c>
      <c r="C926" t="s">
        <v>938</v>
      </c>
      <c r="D926" t="s">
        <v>10</v>
      </c>
      <c r="E926">
        <v>25</v>
      </c>
      <c r="F926" s="2" t="s">
        <v>16</v>
      </c>
      <c r="G926">
        <v>1</v>
      </c>
      <c r="H926">
        <v>300</v>
      </c>
      <c r="I926">
        <v>300</v>
      </c>
    </row>
    <row r="927" spans="1:9">
      <c r="A927" s="2">
        <v>926</v>
      </c>
      <c r="B927" s="1">
        <v>45152</v>
      </c>
      <c r="C927" t="s">
        <v>939</v>
      </c>
      <c r="D927" t="s">
        <v>10</v>
      </c>
      <c r="E927">
        <v>22</v>
      </c>
      <c r="F927" s="2" t="s">
        <v>16</v>
      </c>
      <c r="G927">
        <v>1</v>
      </c>
      <c r="H927">
        <v>30</v>
      </c>
      <c r="I927">
        <v>30</v>
      </c>
    </row>
    <row r="928" spans="1:9">
      <c r="A928" s="2">
        <v>927</v>
      </c>
      <c r="B928" s="1">
        <v>45101</v>
      </c>
      <c r="C928" t="s">
        <v>940</v>
      </c>
      <c r="D928" t="s">
        <v>10</v>
      </c>
      <c r="E928">
        <v>43</v>
      </c>
      <c r="F928" s="2" t="s">
        <v>16</v>
      </c>
      <c r="G928">
        <v>4</v>
      </c>
      <c r="H928">
        <v>500</v>
      </c>
      <c r="I928">
        <v>2000</v>
      </c>
    </row>
    <row r="929" spans="1:9">
      <c r="A929" s="2">
        <v>928</v>
      </c>
      <c r="B929" s="1">
        <v>45021</v>
      </c>
      <c r="C929" t="s">
        <v>941</v>
      </c>
      <c r="D929" t="s">
        <v>13</v>
      </c>
      <c r="E929">
        <v>35</v>
      </c>
      <c r="F929" s="2" t="s">
        <v>14</v>
      </c>
      <c r="G929">
        <v>4</v>
      </c>
      <c r="H929">
        <v>300</v>
      </c>
      <c r="I929">
        <v>1200</v>
      </c>
    </row>
    <row r="930" spans="1:9">
      <c r="A930" s="2">
        <v>929</v>
      </c>
      <c r="B930" s="1">
        <v>44953</v>
      </c>
      <c r="C930" t="s">
        <v>942</v>
      </c>
      <c r="D930" t="s">
        <v>13</v>
      </c>
      <c r="E930">
        <v>23</v>
      </c>
      <c r="F930" s="2" t="s">
        <v>11</v>
      </c>
      <c r="G930">
        <v>3</v>
      </c>
      <c r="H930">
        <v>25</v>
      </c>
      <c r="I930">
        <v>75</v>
      </c>
    </row>
    <row r="931" spans="1:9">
      <c r="A931" s="2">
        <v>930</v>
      </c>
      <c r="B931" s="1">
        <v>45056</v>
      </c>
      <c r="C931" t="s">
        <v>943</v>
      </c>
      <c r="D931" t="s">
        <v>10</v>
      </c>
      <c r="E931">
        <v>54</v>
      </c>
      <c r="F931" s="2" t="s">
        <v>14</v>
      </c>
      <c r="G931">
        <v>4</v>
      </c>
      <c r="H931">
        <v>50</v>
      </c>
      <c r="I931">
        <v>200</v>
      </c>
    </row>
    <row r="932" spans="1:9">
      <c r="A932" s="2">
        <v>931</v>
      </c>
      <c r="B932" s="1">
        <v>45171</v>
      </c>
      <c r="C932" t="s">
        <v>944</v>
      </c>
      <c r="D932" t="s">
        <v>10</v>
      </c>
      <c r="E932">
        <v>30</v>
      </c>
      <c r="F932" s="2" t="s">
        <v>11</v>
      </c>
      <c r="G932">
        <v>4</v>
      </c>
      <c r="H932">
        <v>30</v>
      </c>
      <c r="I932">
        <v>120</v>
      </c>
    </row>
    <row r="933" spans="1:9">
      <c r="A933" s="2">
        <v>932</v>
      </c>
      <c r="B933" s="1">
        <v>44985</v>
      </c>
      <c r="C933" t="s">
        <v>945</v>
      </c>
      <c r="D933" t="s">
        <v>13</v>
      </c>
      <c r="E933">
        <v>45</v>
      </c>
      <c r="F933" s="2" t="s">
        <v>11</v>
      </c>
      <c r="G933">
        <v>4</v>
      </c>
      <c r="H933">
        <v>25</v>
      </c>
      <c r="I933">
        <v>100</v>
      </c>
    </row>
    <row r="934" spans="1:9">
      <c r="A934" s="2">
        <v>933</v>
      </c>
      <c r="B934" s="1">
        <v>44960</v>
      </c>
      <c r="C934" t="s">
        <v>946</v>
      </c>
      <c r="D934" t="s">
        <v>10</v>
      </c>
      <c r="E934">
        <v>22</v>
      </c>
      <c r="F934" s="2" t="s">
        <v>11</v>
      </c>
      <c r="G934">
        <v>1</v>
      </c>
      <c r="H934">
        <v>30</v>
      </c>
      <c r="I934">
        <v>30</v>
      </c>
    </row>
    <row r="935" spans="1:9">
      <c r="A935" s="2">
        <v>934</v>
      </c>
      <c r="B935" s="1">
        <v>45132</v>
      </c>
      <c r="C935" t="s">
        <v>947</v>
      </c>
      <c r="D935" t="s">
        <v>10</v>
      </c>
      <c r="E935">
        <v>30</v>
      </c>
      <c r="F935" s="2" t="s">
        <v>11</v>
      </c>
      <c r="G935">
        <v>1</v>
      </c>
      <c r="H935">
        <v>500</v>
      </c>
      <c r="I935">
        <v>500</v>
      </c>
    </row>
    <row r="936" spans="1:9">
      <c r="A936" s="2">
        <v>935</v>
      </c>
      <c r="B936" s="1">
        <v>45178</v>
      </c>
      <c r="C936" t="s">
        <v>948</v>
      </c>
      <c r="D936" t="s">
        <v>13</v>
      </c>
      <c r="E936">
        <v>34</v>
      </c>
      <c r="F936" s="2" t="s">
        <v>11</v>
      </c>
      <c r="G936">
        <v>1</v>
      </c>
      <c r="H936">
        <v>50</v>
      </c>
      <c r="I936">
        <v>50</v>
      </c>
    </row>
    <row r="937" spans="1:9">
      <c r="A937" s="2">
        <v>936</v>
      </c>
      <c r="B937" s="1">
        <v>44964</v>
      </c>
      <c r="C937" t="s">
        <v>949</v>
      </c>
      <c r="D937" t="s">
        <v>10</v>
      </c>
      <c r="E937">
        <v>57</v>
      </c>
      <c r="F937" s="2" t="s">
        <v>11</v>
      </c>
      <c r="G937">
        <v>4</v>
      </c>
      <c r="H937">
        <v>50</v>
      </c>
      <c r="I937">
        <v>200</v>
      </c>
    </row>
    <row r="938" spans="1:9">
      <c r="A938" s="2">
        <v>937</v>
      </c>
      <c r="B938" s="1">
        <v>45222</v>
      </c>
      <c r="C938" t="s">
        <v>950</v>
      </c>
      <c r="D938" t="s">
        <v>13</v>
      </c>
      <c r="E938">
        <v>62</v>
      </c>
      <c r="F938" s="2" t="s">
        <v>11</v>
      </c>
      <c r="G938">
        <v>1</v>
      </c>
      <c r="H938">
        <v>500</v>
      </c>
      <c r="I938">
        <v>500</v>
      </c>
    </row>
    <row r="939" spans="1:9">
      <c r="A939" s="2">
        <v>938</v>
      </c>
      <c r="B939" s="1">
        <v>45249</v>
      </c>
      <c r="C939" t="s">
        <v>951</v>
      </c>
      <c r="D939" t="s">
        <v>10</v>
      </c>
      <c r="E939">
        <v>49</v>
      </c>
      <c r="F939" s="2" t="s">
        <v>14</v>
      </c>
      <c r="G939">
        <v>4</v>
      </c>
      <c r="H939">
        <v>50</v>
      </c>
      <c r="I939">
        <v>200</v>
      </c>
    </row>
    <row r="940" spans="1:9">
      <c r="A940" s="2">
        <v>939</v>
      </c>
      <c r="B940" s="1">
        <v>45278</v>
      </c>
      <c r="C940" t="s">
        <v>952</v>
      </c>
      <c r="D940" t="s">
        <v>13</v>
      </c>
      <c r="E940">
        <v>46</v>
      </c>
      <c r="F940" s="2" t="s">
        <v>16</v>
      </c>
      <c r="G940">
        <v>1</v>
      </c>
      <c r="H940">
        <v>300</v>
      </c>
      <c r="I940">
        <v>300</v>
      </c>
    </row>
    <row r="941" spans="1:9">
      <c r="A941" s="2">
        <v>940</v>
      </c>
      <c r="B941" s="1">
        <v>44954</v>
      </c>
      <c r="C941" t="s">
        <v>953</v>
      </c>
      <c r="D941" t="s">
        <v>13</v>
      </c>
      <c r="E941">
        <v>20</v>
      </c>
      <c r="F941" s="2" t="s">
        <v>16</v>
      </c>
      <c r="G941">
        <v>1</v>
      </c>
      <c r="H941">
        <v>30</v>
      </c>
      <c r="I941">
        <v>30</v>
      </c>
    </row>
    <row r="942" spans="1:9">
      <c r="A942" s="2">
        <v>941</v>
      </c>
      <c r="B942" s="1">
        <v>45004</v>
      </c>
      <c r="C942" t="s">
        <v>954</v>
      </c>
      <c r="D942" t="s">
        <v>13</v>
      </c>
      <c r="E942">
        <v>57</v>
      </c>
      <c r="F942" s="2" t="s">
        <v>14</v>
      </c>
      <c r="G942">
        <v>2</v>
      </c>
      <c r="H942">
        <v>25</v>
      </c>
      <c r="I942">
        <v>50</v>
      </c>
    </row>
    <row r="943" spans="1:9">
      <c r="A943" s="2">
        <v>942</v>
      </c>
      <c r="B943" s="1">
        <v>45003</v>
      </c>
      <c r="C943" t="s">
        <v>955</v>
      </c>
      <c r="D943" t="s">
        <v>10</v>
      </c>
      <c r="E943">
        <v>51</v>
      </c>
      <c r="F943" s="2" t="s">
        <v>14</v>
      </c>
      <c r="G943">
        <v>3</v>
      </c>
      <c r="H943">
        <v>500</v>
      </c>
      <c r="I943">
        <v>1500</v>
      </c>
    </row>
    <row r="944" spans="1:9">
      <c r="A944" s="2">
        <v>943</v>
      </c>
      <c r="B944" s="1">
        <v>45215</v>
      </c>
      <c r="C944" t="s">
        <v>956</v>
      </c>
      <c r="D944" t="s">
        <v>13</v>
      </c>
      <c r="E944">
        <v>57</v>
      </c>
      <c r="F944" s="2" t="s">
        <v>14</v>
      </c>
      <c r="G944">
        <v>4</v>
      </c>
      <c r="H944">
        <v>300</v>
      </c>
      <c r="I944">
        <v>1200</v>
      </c>
    </row>
    <row r="945" spans="1:9">
      <c r="A945" s="2">
        <v>944</v>
      </c>
      <c r="B945" s="1">
        <v>45082</v>
      </c>
      <c r="C945" t="s">
        <v>957</v>
      </c>
      <c r="D945" t="s">
        <v>10</v>
      </c>
      <c r="E945">
        <v>44</v>
      </c>
      <c r="F945" s="2" t="s">
        <v>14</v>
      </c>
      <c r="G945">
        <v>2</v>
      </c>
      <c r="H945">
        <v>25</v>
      </c>
      <c r="I945">
        <v>50</v>
      </c>
    </row>
    <row r="946" spans="1:9">
      <c r="A946" s="2">
        <v>945</v>
      </c>
      <c r="B946" s="1">
        <v>44970</v>
      </c>
      <c r="C946" t="s">
        <v>958</v>
      </c>
      <c r="D946" t="s">
        <v>10</v>
      </c>
      <c r="E946">
        <v>30</v>
      </c>
      <c r="F946" s="2" t="s">
        <v>11</v>
      </c>
      <c r="G946">
        <v>1</v>
      </c>
      <c r="H946">
        <v>25</v>
      </c>
      <c r="I946">
        <v>25</v>
      </c>
    </row>
    <row r="947" spans="1:9">
      <c r="A947" s="2">
        <v>946</v>
      </c>
      <c r="B947" s="1">
        <v>45054</v>
      </c>
      <c r="C947" t="s">
        <v>959</v>
      </c>
      <c r="D947" t="s">
        <v>10</v>
      </c>
      <c r="E947">
        <v>62</v>
      </c>
      <c r="F947" s="2" t="s">
        <v>16</v>
      </c>
      <c r="G947">
        <v>4</v>
      </c>
      <c r="H947">
        <v>500</v>
      </c>
      <c r="I947">
        <v>2000</v>
      </c>
    </row>
    <row r="948" spans="1:9">
      <c r="A948" s="2">
        <v>947</v>
      </c>
      <c r="B948" s="1">
        <v>44987</v>
      </c>
      <c r="C948" t="s">
        <v>960</v>
      </c>
      <c r="D948" t="s">
        <v>10</v>
      </c>
      <c r="E948">
        <v>50</v>
      </c>
      <c r="F948" s="2" t="s">
        <v>11</v>
      </c>
      <c r="G948">
        <v>1</v>
      </c>
      <c r="H948">
        <v>300</v>
      </c>
      <c r="I948">
        <v>300</v>
      </c>
    </row>
    <row r="949" spans="1:9">
      <c r="A949" s="2">
        <v>948</v>
      </c>
      <c r="B949" s="1">
        <v>45212</v>
      </c>
      <c r="C949" t="s">
        <v>961</v>
      </c>
      <c r="D949" t="s">
        <v>13</v>
      </c>
      <c r="E949">
        <v>23</v>
      </c>
      <c r="F949" s="2" t="s">
        <v>16</v>
      </c>
      <c r="G949">
        <v>3</v>
      </c>
      <c r="H949">
        <v>25</v>
      </c>
      <c r="I949">
        <v>75</v>
      </c>
    </row>
    <row r="950" spans="1:9">
      <c r="A950" s="2">
        <v>949</v>
      </c>
      <c r="B950" s="1">
        <v>45140</v>
      </c>
      <c r="C950" t="s">
        <v>962</v>
      </c>
      <c r="D950" t="s">
        <v>13</v>
      </c>
      <c r="E950">
        <v>41</v>
      </c>
      <c r="F950" s="2" t="s">
        <v>16</v>
      </c>
      <c r="G950">
        <v>2</v>
      </c>
      <c r="H950">
        <v>25</v>
      </c>
      <c r="I950">
        <v>50</v>
      </c>
    </row>
    <row r="951" spans="1:9">
      <c r="A951" s="2">
        <v>950</v>
      </c>
      <c r="B951" s="1">
        <v>45237</v>
      </c>
      <c r="C951" t="s">
        <v>963</v>
      </c>
      <c r="D951" t="s">
        <v>10</v>
      </c>
      <c r="E951">
        <v>36</v>
      </c>
      <c r="F951" s="2" t="s">
        <v>14</v>
      </c>
      <c r="G951">
        <v>3</v>
      </c>
      <c r="H951">
        <v>300</v>
      </c>
      <c r="I951">
        <v>900</v>
      </c>
    </row>
    <row r="952" spans="1:9">
      <c r="A952" s="2">
        <v>951</v>
      </c>
      <c r="B952" s="1">
        <v>45232</v>
      </c>
      <c r="C952" t="s">
        <v>964</v>
      </c>
      <c r="D952" t="s">
        <v>10</v>
      </c>
      <c r="E952">
        <v>33</v>
      </c>
      <c r="F952" s="2" t="s">
        <v>11</v>
      </c>
      <c r="G952">
        <v>2</v>
      </c>
      <c r="H952">
        <v>50</v>
      </c>
      <c r="I952">
        <v>100</v>
      </c>
    </row>
    <row r="953" spans="1:9">
      <c r="A953" s="2">
        <v>952</v>
      </c>
      <c r="B953" s="1">
        <v>45243</v>
      </c>
      <c r="C953" t="s">
        <v>965</v>
      </c>
      <c r="D953" t="s">
        <v>13</v>
      </c>
      <c r="E953">
        <v>57</v>
      </c>
      <c r="F953" s="2" t="s">
        <v>14</v>
      </c>
      <c r="G953">
        <v>1</v>
      </c>
      <c r="H953">
        <v>25</v>
      </c>
      <c r="I953">
        <v>25</v>
      </c>
    </row>
    <row r="954" spans="1:9">
      <c r="A954" s="2">
        <v>953</v>
      </c>
      <c r="B954" s="1">
        <v>45042</v>
      </c>
      <c r="C954" t="s">
        <v>966</v>
      </c>
      <c r="D954" t="s">
        <v>10</v>
      </c>
      <c r="E954">
        <v>45</v>
      </c>
      <c r="F954" s="2" t="s">
        <v>11</v>
      </c>
      <c r="G954">
        <v>3</v>
      </c>
      <c r="H954">
        <v>30</v>
      </c>
      <c r="I954">
        <v>90</v>
      </c>
    </row>
    <row r="955" spans="1:9">
      <c r="A955" s="2">
        <v>954</v>
      </c>
      <c r="B955" s="1">
        <v>45194</v>
      </c>
      <c r="C955" t="s">
        <v>967</v>
      </c>
      <c r="D955" t="s">
        <v>13</v>
      </c>
      <c r="E955">
        <v>50</v>
      </c>
      <c r="F955" s="2" t="s">
        <v>16</v>
      </c>
      <c r="G955">
        <v>3</v>
      </c>
      <c r="H955">
        <v>300</v>
      </c>
      <c r="I955">
        <v>900</v>
      </c>
    </row>
    <row r="956" spans="1:9">
      <c r="A956" s="2">
        <v>955</v>
      </c>
      <c r="B956" s="1">
        <v>45121</v>
      </c>
      <c r="C956" t="s">
        <v>968</v>
      </c>
      <c r="D956" t="s">
        <v>10</v>
      </c>
      <c r="E956">
        <v>58</v>
      </c>
      <c r="F956" s="2" t="s">
        <v>14</v>
      </c>
      <c r="G956">
        <v>1</v>
      </c>
      <c r="H956">
        <v>25</v>
      </c>
      <c r="I956">
        <v>25</v>
      </c>
    </row>
    <row r="957" spans="1:9">
      <c r="A957" s="2">
        <v>956</v>
      </c>
      <c r="B957" s="1">
        <v>45157</v>
      </c>
      <c r="C957" t="s">
        <v>969</v>
      </c>
      <c r="D957" t="s">
        <v>10</v>
      </c>
      <c r="E957">
        <v>30</v>
      </c>
      <c r="F957" s="2" t="s">
        <v>14</v>
      </c>
      <c r="G957">
        <v>3</v>
      </c>
      <c r="H957">
        <v>500</v>
      </c>
      <c r="I957">
        <v>1500</v>
      </c>
    </row>
    <row r="958" spans="1:9">
      <c r="A958" s="2">
        <v>957</v>
      </c>
      <c r="B958" s="1">
        <v>45153</v>
      </c>
      <c r="C958" t="s">
        <v>970</v>
      </c>
      <c r="D958" t="s">
        <v>13</v>
      </c>
      <c r="E958">
        <v>60</v>
      </c>
      <c r="F958" s="2" t="s">
        <v>16</v>
      </c>
      <c r="G958">
        <v>4</v>
      </c>
      <c r="H958">
        <v>30</v>
      </c>
      <c r="I958">
        <v>120</v>
      </c>
    </row>
    <row r="959" spans="1:9">
      <c r="A959" s="2">
        <v>958</v>
      </c>
      <c r="B959" s="1">
        <v>45079</v>
      </c>
      <c r="C959" t="s">
        <v>971</v>
      </c>
      <c r="D959" t="s">
        <v>10</v>
      </c>
      <c r="E959">
        <v>62</v>
      </c>
      <c r="F959" s="2" t="s">
        <v>16</v>
      </c>
      <c r="G959">
        <v>2</v>
      </c>
      <c r="H959">
        <v>25</v>
      </c>
      <c r="I959">
        <v>50</v>
      </c>
    </row>
    <row r="960" spans="1:9">
      <c r="A960" s="2">
        <v>959</v>
      </c>
      <c r="B960" s="1">
        <v>45228</v>
      </c>
      <c r="C960" t="s">
        <v>972</v>
      </c>
      <c r="D960" t="s">
        <v>13</v>
      </c>
      <c r="E960">
        <v>42</v>
      </c>
      <c r="F960" s="2" t="s">
        <v>16</v>
      </c>
      <c r="G960">
        <v>2</v>
      </c>
      <c r="H960">
        <v>30</v>
      </c>
      <c r="I960">
        <v>60</v>
      </c>
    </row>
    <row r="961" spans="1:9">
      <c r="A961" s="2">
        <v>960</v>
      </c>
      <c r="B961" s="1">
        <v>45146</v>
      </c>
      <c r="C961" t="s">
        <v>973</v>
      </c>
      <c r="D961" t="s">
        <v>10</v>
      </c>
      <c r="E961">
        <v>59</v>
      </c>
      <c r="F961" s="2" t="s">
        <v>14</v>
      </c>
      <c r="G961">
        <v>2</v>
      </c>
      <c r="H961">
        <v>30</v>
      </c>
      <c r="I961">
        <v>60</v>
      </c>
    </row>
    <row r="962" spans="1:9">
      <c r="A962" s="2">
        <v>961</v>
      </c>
      <c r="B962" s="1">
        <v>45083</v>
      </c>
      <c r="C962" t="s">
        <v>974</v>
      </c>
      <c r="D962" t="s">
        <v>10</v>
      </c>
      <c r="E962">
        <v>53</v>
      </c>
      <c r="F962" s="2" t="s">
        <v>11</v>
      </c>
      <c r="G962">
        <v>4</v>
      </c>
      <c r="H962">
        <v>50</v>
      </c>
      <c r="I962">
        <v>200</v>
      </c>
    </row>
    <row r="963" spans="1:9">
      <c r="A963" s="2">
        <v>962</v>
      </c>
      <c r="B963" s="1">
        <v>45218</v>
      </c>
      <c r="C963" t="s">
        <v>975</v>
      </c>
      <c r="D963" t="s">
        <v>10</v>
      </c>
      <c r="E963">
        <v>44</v>
      </c>
      <c r="F963" s="2" t="s">
        <v>14</v>
      </c>
      <c r="G963">
        <v>2</v>
      </c>
      <c r="H963">
        <v>30</v>
      </c>
      <c r="I963">
        <v>60</v>
      </c>
    </row>
    <row r="964" spans="1:9">
      <c r="A964" s="2">
        <v>963</v>
      </c>
      <c r="B964" s="1">
        <v>45244</v>
      </c>
      <c r="C964" t="s">
        <v>976</v>
      </c>
      <c r="D964" t="s">
        <v>13</v>
      </c>
      <c r="E964">
        <v>55</v>
      </c>
      <c r="F964" s="2" t="s">
        <v>11</v>
      </c>
      <c r="G964">
        <v>1</v>
      </c>
      <c r="H964">
        <v>50</v>
      </c>
      <c r="I964">
        <v>50</v>
      </c>
    </row>
    <row r="965" spans="1:9">
      <c r="A965" s="2">
        <v>964</v>
      </c>
      <c r="B965" s="1">
        <v>44957</v>
      </c>
      <c r="C965" t="s">
        <v>977</v>
      </c>
      <c r="D965" t="s">
        <v>10</v>
      </c>
      <c r="E965">
        <v>24</v>
      </c>
      <c r="F965" s="2" t="s">
        <v>14</v>
      </c>
      <c r="G965">
        <v>3</v>
      </c>
      <c r="H965">
        <v>300</v>
      </c>
      <c r="I965">
        <v>900</v>
      </c>
    </row>
    <row r="966" spans="1:9">
      <c r="A966" s="2">
        <v>965</v>
      </c>
      <c r="B966" s="1">
        <v>45239</v>
      </c>
      <c r="C966" t="s">
        <v>978</v>
      </c>
      <c r="D966" t="s">
        <v>10</v>
      </c>
      <c r="E966">
        <v>22</v>
      </c>
      <c r="F966" s="2" t="s">
        <v>14</v>
      </c>
      <c r="G966">
        <v>4</v>
      </c>
      <c r="H966">
        <v>50</v>
      </c>
      <c r="I966">
        <v>200</v>
      </c>
    </row>
    <row r="967" spans="1:9">
      <c r="A967" s="2">
        <v>966</v>
      </c>
      <c r="B967" s="1">
        <v>44977</v>
      </c>
      <c r="C967" t="s">
        <v>979</v>
      </c>
      <c r="D967" t="s">
        <v>10</v>
      </c>
      <c r="E967">
        <v>60</v>
      </c>
      <c r="F967" s="2" t="s">
        <v>16</v>
      </c>
      <c r="G967">
        <v>2</v>
      </c>
      <c r="H967">
        <v>500</v>
      </c>
      <c r="I967">
        <v>1000</v>
      </c>
    </row>
    <row r="968" spans="1:9">
      <c r="A968" s="2">
        <v>967</v>
      </c>
      <c r="B968" s="1">
        <v>45033</v>
      </c>
      <c r="C968" t="s">
        <v>980</v>
      </c>
      <c r="D968" t="s">
        <v>10</v>
      </c>
      <c r="E968">
        <v>62</v>
      </c>
      <c r="F968" s="2" t="s">
        <v>11</v>
      </c>
      <c r="G968">
        <v>1</v>
      </c>
      <c r="H968">
        <v>25</v>
      </c>
      <c r="I968">
        <v>25</v>
      </c>
    </row>
    <row r="969" spans="1:9">
      <c r="A969" s="2">
        <v>968</v>
      </c>
      <c r="B969" s="1">
        <v>45247</v>
      </c>
      <c r="C969" t="s">
        <v>981</v>
      </c>
      <c r="D969" t="s">
        <v>13</v>
      </c>
      <c r="E969">
        <v>48</v>
      </c>
      <c r="F969" s="2" t="s">
        <v>14</v>
      </c>
      <c r="G969">
        <v>3</v>
      </c>
      <c r="H969">
        <v>300</v>
      </c>
      <c r="I969">
        <v>900</v>
      </c>
    </row>
    <row r="970" spans="1:9">
      <c r="A970" s="2">
        <v>969</v>
      </c>
      <c r="B970" s="1">
        <v>45035</v>
      </c>
      <c r="C970" t="s">
        <v>982</v>
      </c>
      <c r="D970" t="s">
        <v>13</v>
      </c>
      <c r="E970">
        <v>40</v>
      </c>
      <c r="F970" s="2" t="s">
        <v>14</v>
      </c>
      <c r="G970">
        <v>3</v>
      </c>
      <c r="H970">
        <v>300</v>
      </c>
      <c r="I970">
        <v>900</v>
      </c>
    </row>
    <row r="971" spans="1:9">
      <c r="A971" s="2">
        <v>970</v>
      </c>
      <c r="B971" s="1">
        <v>45062</v>
      </c>
      <c r="C971" t="s">
        <v>983</v>
      </c>
      <c r="D971" t="s">
        <v>10</v>
      </c>
      <c r="E971">
        <v>59</v>
      </c>
      <c r="F971" s="2" t="s">
        <v>16</v>
      </c>
      <c r="G971">
        <v>4</v>
      </c>
      <c r="H971">
        <v>500</v>
      </c>
      <c r="I971">
        <v>2000</v>
      </c>
    </row>
    <row r="972" spans="1:9">
      <c r="A972" s="2">
        <v>971</v>
      </c>
      <c r="B972" s="1">
        <v>45265</v>
      </c>
      <c r="C972" t="s">
        <v>984</v>
      </c>
      <c r="D972" t="s">
        <v>13</v>
      </c>
      <c r="E972">
        <v>27</v>
      </c>
      <c r="F972" s="2" t="s">
        <v>16</v>
      </c>
      <c r="G972">
        <v>4</v>
      </c>
      <c r="H972">
        <v>50</v>
      </c>
      <c r="I972">
        <v>200</v>
      </c>
    </row>
    <row r="973" spans="1:9">
      <c r="A973" s="2">
        <v>972</v>
      </c>
      <c r="B973" s="1">
        <v>44968</v>
      </c>
      <c r="C973" t="s">
        <v>985</v>
      </c>
      <c r="D973" t="s">
        <v>10</v>
      </c>
      <c r="E973">
        <v>49</v>
      </c>
      <c r="F973" s="2" t="s">
        <v>11</v>
      </c>
      <c r="G973">
        <v>4</v>
      </c>
      <c r="H973">
        <v>25</v>
      </c>
      <c r="I973">
        <v>100</v>
      </c>
    </row>
    <row r="974" spans="1:9">
      <c r="A974" s="2">
        <v>973</v>
      </c>
      <c r="B974" s="1">
        <v>45007</v>
      </c>
      <c r="C974" t="s">
        <v>986</v>
      </c>
      <c r="D974" t="s">
        <v>10</v>
      </c>
      <c r="E974">
        <v>60</v>
      </c>
      <c r="F974" s="2" t="s">
        <v>14</v>
      </c>
      <c r="G974">
        <v>1</v>
      </c>
      <c r="H974">
        <v>50</v>
      </c>
      <c r="I974">
        <v>50</v>
      </c>
    </row>
    <row r="975" spans="1:9">
      <c r="A975" s="2">
        <v>974</v>
      </c>
      <c r="B975" s="1">
        <v>45049</v>
      </c>
      <c r="C975" t="s">
        <v>987</v>
      </c>
      <c r="D975" t="s">
        <v>10</v>
      </c>
      <c r="E975">
        <v>47</v>
      </c>
      <c r="F975" s="2" t="s">
        <v>11</v>
      </c>
      <c r="G975">
        <v>1</v>
      </c>
      <c r="H975">
        <v>30</v>
      </c>
      <c r="I975">
        <v>30</v>
      </c>
    </row>
    <row r="976" spans="1:9">
      <c r="A976" s="2">
        <v>975</v>
      </c>
      <c r="B976" s="1">
        <v>45015</v>
      </c>
      <c r="C976" t="s">
        <v>988</v>
      </c>
      <c r="D976" t="s">
        <v>13</v>
      </c>
      <c r="E976">
        <v>56</v>
      </c>
      <c r="F976" s="2" t="s">
        <v>14</v>
      </c>
      <c r="G976">
        <v>4</v>
      </c>
      <c r="H976">
        <v>50</v>
      </c>
      <c r="I976">
        <v>200</v>
      </c>
    </row>
    <row r="977" spans="1:9">
      <c r="A977" s="2">
        <v>976</v>
      </c>
      <c r="B977" s="1">
        <v>45209</v>
      </c>
      <c r="C977" t="s">
        <v>989</v>
      </c>
      <c r="D977" t="s">
        <v>13</v>
      </c>
      <c r="E977">
        <v>48</v>
      </c>
      <c r="F977" s="2" t="s">
        <v>11</v>
      </c>
      <c r="G977">
        <v>2</v>
      </c>
      <c r="H977">
        <v>300</v>
      </c>
      <c r="I977">
        <v>600</v>
      </c>
    </row>
    <row r="978" spans="1:9">
      <c r="A978" s="2">
        <v>977</v>
      </c>
      <c r="B978" s="1">
        <v>44965</v>
      </c>
      <c r="C978" t="s">
        <v>990</v>
      </c>
      <c r="D978" t="s">
        <v>13</v>
      </c>
      <c r="E978">
        <v>35</v>
      </c>
      <c r="F978" s="2" t="s">
        <v>16</v>
      </c>
      <c r="G978">
        <v>3</v>
      </c>
      <c r="H978">
        <v>25</v>
      </c>
      <c r="I978">
        <v>75</v>
      </c>
    </row>
    <row r="979" spans="1:9">
      <c r="A979" s="2">
        <v>978</v>
      </c>
      <c r="B979" s="1">
        <v>45007</v>
      </c>
      <c r="C979" t="s">
        <v>991</v>
      </c>
      <c r="D979" t="s">
        <v>13</v>
      </c>
      <c r="E979">
        <v>53</v>
      </c>
      <c r="F979" s="2" t="s">
        <v>14</v>
      </c>
      <c r="G979">
        <v>3</v>
      </c>
      <c r="H979">
        <v>50</v>
      </c>
      <c r="I979">
        <v>150</v>
      </c>
    </row>
    <row r="980" spans="1:9">
      <c r="A980" s="2">
        <v>979</v>
      </c>
      <c r="B980" s="1">
        <v>44928</v>
      </c>
      <c r="C980" t="s">
        <v>992</v>
      </c>
      <c r="D980" t="s">
        <v>13</v>
      </c>
      <c r="E980">
        <v>19</v>
      </c>
      <c r="F980" s="2" t="s">
        <v>11</v>
      </c>
      <c r="G980">
        <v>1</v>
      </c>
      <c r="H980">
        <v>25</v>
      </c>
      <c r="I980">
        <v>25</v>
      </c>
    </row>
    <row r="981" spans="1:9">
      <c r="A981" s="2">
        <v>980</v>
      </c>
      <c r="B981" s="1">
        <v>45136</v>
      </c>
      <c r="C981" t="s">
        <v>993</v>
      </c>
      <c r="D981" t="s">
        <v>13</v>
      </c>
      <c r="E981">
        <v>31</v>
      </c>
      <c r="F981" s="2" t="s">
        <v>16</v>
      </c>
      <c r="G981">
        <v>3</v>
      </c>
      <c r="H981">
        <v>25</v>
      </c>
      <c r="I981">
        <v>75</v>
      </c>
    </row>
    <row r="982" spans="1:9">
      <c r="A982" s="2">
        <v>981</v>
      </c>
      <c r="B982" s="1">
        <v>45157</v>
      </c>
      <c r="C982" t="s">
        <v>994</v>
      </c>
      <c r="D982" t="s">
        <v>13</v>
      </c>
      <c r="E982">
        <v>30</v>
      </c>
      <c r="F982" s="2" t="s">
        <v>16</v>
      </c>
      <c r="G982">
        <v>2</v>
      </c>
      <c r="H982">
        <v>30</v>
      </c>
      <c r="I982">
        <v>60</v>
      </c>
    </row>
    <row r="983" spans="1:9">
      <c r="A983" s="2">
        <v>982</v>
      </c>
      <c r="B983" s="1">
        <v>45279</v>
      </c>
      <c r="C983" t="s">
        <v>995</v>
      </c>
      <c r="D983" t="s">
        <v>13</v>
      </c>
      <c r="E983">
        <v>46</v>
      </c>
      <c r="F983" s="2" t="s">
        <v>11</v>
      </c>
      <c r="G983">
        <v>3</v>
      </c>
      <c r="H983">
        <v>30</v>
      </c>
      <c r="I983">
        <v>90</v>
      </c>
    </row>
    <row r="984" spans="1:9">
      <c r="A984" s="2">
        <v>983</v>
      </c>
      <c r="B984" s="1">
        <v>45231</v>
      </c>
      <c r="C984" t="s">
        <v>996</v>
      </c>
      <c r="D984" t="s">
        <v>13</v>
      </c>
      <c r="E984">
        <v>29</v>
      </c>
      <c r="F984" s="2" t="s">
        <v>14</v>
      </c>
      <c r="G984">
        <v>1</v>
      </c>
      <c r="H984">
        <v>300</v>
      </c>
      <c r="I984">
        <v>300</v>
      </c>
    </row>
    <row r="985" spans="1:9">
      <c r="A985" s="2">
        <v>984</v>
      </c>
      <c r="B985" s="1">
        <v>45167</v>
      </c>
      <c r="C985" t="s">
        <v>997</v>
      </c>
      <c r="D985" t="s">
        <v>10</v>
      </c>
      <c r="E985">
        <v>56</v>
      </c>
      <c r="F985" s="2" t="s">
        <v>14</v>
      </c>
      <c r="G985">
        <v>1</v>
      </c>
      <c r="H985">
        <v>500</v>
      </c>
      <c r="I985">
        <v>500</v>
      </c>
    </row>
    <row r="986" spans="1:9">
      <c r="A986" s="2">
        <v>985</v>
      </c>
      <c r="B986" s="1">
        <v>45076</v>
      </c>
      <c r="C986" t="s">
        <v>998</v>
      </c>
      <c r="D986" t="s">
        <v>13</v>
      </c>
      <c r="E986">
        <v>19</v>
      </c>
      <c r="F986" s="2" t="s">
        <v>16</v>
      </c>
      <c r="G986">
        <v>2</v>
      </c>
      <c r="H986">
        <v>25</v>
      </c>
      <c r="I986">
        <v>50</v>
      </c>
    </row>
    <row r="987" spans="1:9">
      <c r="A987" s="2">
        <v>986</v>
      </c>
      <c r="B987" s="1">
        <v>44943</v>
      </c>
      <c r="C987" t="s">
        <v>999</v>
      </c>
      <c r="D987" t="s">
        <v>13</v>
      </c>
      <c r="E987">
        <v>49</v>
      </c>
      <c r="F987" s="2" t="s">
        <v>14</v>
      </c>
      <c r="G987">
        <v>2</v>
      </c>
      <c r="H987">
        <v>500</v>
      </c>
      <c r="I987">
        <v>1000</v>
      </c>
    </row>
    <row r="988" spans="1:9">
      <c r="A988" s="2">
        <v>987</v>
      </c>
      <c r="B988" s="1">
        <v>45045</v>
      </c>
      <c r="C988" t="s">
        <v>1000</v>
      </c>
      <c r="D988" t="s">
        <v>13</v>
      </c>
      <c r="E988">
        <v>30</v>
      </c>
      <c r="F988" s="2" t="s">
        <v>14</v>
      </c>
      <c r="G988">
        <v>3</v>
      </c>
      <c r="H988">
        <v>300</v>
      </c>
      <c r="I988">
        <v>900</v>
      </c>
    </row>
    <row r="989" spans="1:9">
      <c r="A989" s="2">
        <v>988</v>
      </c>
      <c r="B989" s="1">
        <v>45074</v>
      </c>
      <c r="C989" t="s">
        <v>1001</v>
      </c>
      <c r="D989" t="s">
        <v>13</v>
      </c>
      <c r="E989">
        <v>63</v>
      </c>
      <c r="F989" s="2" t="s">
        <v>14</v>
      </c>
      <c r="G989">
        <v>3</v>
      </c>
      <c r="H989">
        <v>25</v>
      </c>
      <c r="I989">
        <v>75</v>
      </c>
    </row>
    <row r="990" spans="1:9">
      <c r="A990" s="2">
        <v>989</v>
      </c>
      <c r="B990" s="1">
        <v>45288</v>
      </c>
      <c r="C990" t="s">
        <v>1002</v>
      </c>
      <c r="D990" t="s">
        <v>13</v>
      </c>
      <c r="E990">
        <v>44</v>
      </c>
      <c r="F990" s="2" t="s">
        <v>16</v>
      </c>
      <c r="G990">
        <v>1</v>
      </c>
      <c r="H990">
        <v>25</v>
      </c>
      <c r="I990">
        <v>25</v>
      </c>
    </row>
    <row r="991" spans="1:9">
      <c r="A991" s="2">
        <v>990</v>
      </c>
      <c r="B991" s="1">
        <v>45071</v>
      </c>
      <c r="C991" t="s">
        <v>1003</v>
      </c>
      <c r="D991" t="s">
        <v>13</v>
      </c>
      <c r="E991">
        <v>58</v>
      </c>
      <c r="F991" s="2" t="s">
        <v>11</v>
      </c>
      <c r="G991">
        <v>2</v>
      </c>
      <c r="H991">
        <v>500</v>
      </c>
      <c r="I991">
        <v>1000</v>
      </c>
    </row>
    <row r="992" spans="1:9">
      <c r="A992" s="2">
        <v>991</v>
      </c>
      <c r="B992" s="1">
        <v>45286</v>
      </c>
      <c r="C992" t="s">
        <v>1004</v>
      </c>
      <c r="D992" t="s">
        <v>13</v>
      </c>
      <c r="E992">
        <v>34</v>
      </c>
      <c r="F992" s="2" t="s">
        <v>14</v>
      </c>
      <c r="G992">
        <v>2</v>
      </c>
      <c r="H992">
        <v>50</v>
      </c>
      <c r="I992">
        <v>100</v>
      </c>
    </row>
    <row r="993" spans="1:9">
      <c r="A993" s="2">
        <v>992</v>
      </c>
      <c r="B993" s="1">
        <v>45159</v>
      </c>
      <c r="C993" t="s">
        <v>1005</v>
      </c>
      <c r="D993" t="s">
        <v>13</v>
      </c>
      <c r="E993">
        <v>57</v>
      </c>
      <c r="F993" s="2" t="s">
        <v>16</v>
      </c>
      <c r="G993">
        <v>2</v>
      </c>
      <c r="H993">
        <v>30</v>
      </c>
      <c r="I993">
        <v>60</v>
      </c>
    </row>
    <row r="994" spans="1:9">
      <c r="A994" s="2">
        <v>993</v>
      </c>
      <c r="B994" s="1">
        <v>44963</v>
      </c>
      <c r="C994" t="s">
        <v>1006</v>
      </c>
      <c r="D994" t="s">
        <v>13</v>
      </c>
      <c r="E994">
        <v>48</v>
      </c>
      <c r="F994" s="2" t="s">
        <v>16</v>
      </c>
      <c r="G994">
        <v>3</v>
      </c>
      <c r="H994">
        <v>50</v>
      </c>
      <c r="I994">
        <v>150</v>
      </c>
    </row>
    <row r="995" spans="1:9">
      <c r="A995" s="2">
        <v>994</v>
      </c>
      <c r="B995" s="1">
        <v>45278</v>
      </c>
      <c r="C995" t="s">
        <v>1007</v>
      </c>
      <c r="D995" t="s">
        <v>13</v>
      </c>
      <c r="E995">
        <v>51</v>
      </c>
      <c r="F995" s="2" t="s">
        <v>11</v>
      </c>
      <c r="G995">
        <v>2</v>
      </c>
      <c r="H995">
        <v>500</v>
      </c>
      <c r="I995">
        <v>1000</v>
      </c>
    </row>
    <row r="996" spans="1:9">
      <c r="A996" s="2">
        <v>995</v>
      </c>
      <c r="B996" s="1">
        <v>45046</v>
      </c>
      <c r="C996" t="s">
        <v>1008</v>
      </c>
      <c r="D996" t="s">
        <v>13</v>
      </c>
      <c r="E996">
        <v>41</v>
      </c>
      <c r="F996" s="2" t="s">
        <v>14</v>
      </c>
      <c r="G996">
        <v>1</v>
      </c>
      <c r="H996">
        <v>30</v>
      </c>
      <c r="I996">
        <v>30</v>
      </c>
    </row>
    <row r="997" spans="1:9">
      <c r="A997" s="2">
        <v>996</v>
      </c>
      <c r="B997" s="1">
        <v>45062</v>
      </c>
      <c r="C997" t="s">
        <v>1009</v>
      </c>
      <c r="D997" t="s">
        <v>10</v>
      </c>
      <c r="E997">
        <v>62</v>
      </c>
      <c r="F997" s="2" t="s">
        <v>14</v>
      </c>
      <c r="G997">
        <v>1</v>
      </c>
      <c r="H997">
        <v>50</v>
      </c>
      <c r="I997">
        <v>50</v>
      </c>
    </row>
    <row r="998" spans="1:9">
      <c r="A998" s="2">
        <v>997</v>
      </c>
      <c r="B998" s="1">
        <v>45247</v>
      </c>
      <c r="C998" t="s">
        <v>1010</v>
      </c>
      <c r="D998" t="s">
        <v>10</v>
      </c>
      <c r="E998">
        <v>52</v>
      </c>
      <c r="F998" s="2" t="s">
        <v>11</v>
      </c>
      <c r="G998">
        <v>3</v>
      </c>
      <c r="H998">
        <v>30</v>
      </c>
      <c r="I998">
        <v>90</v>
      </c>
    </row>
    <row r="999" spans="1:9">
      <c r="A999" s="2">
        <v>998</v>
      </c>
      <c r="B999" s="1">
        <v>45228</v>
      </c>
      <c r="C999" t="s">
        <v>1011</v>
      </c>
      <c r="D999" t="s">
        <v>13</v>
      </c>
      <c r="E999">
        <v>23</v>
      </c>
      <c r="F999" s="2" t="s">
        <v>11</v>
      </c>
      <c r="G999">
        <v>4</v>
      </c>
      <c r="H999">
        <v>25</v>
      </c>
      <c r="I999">
        <v>100</v>
      </c>
    </row>
    <row r="1000" spans="1:9">
      <c r="A1000" s="2">
        <v>999</v>
      </c>
      <c r="B1000" s="1">
        <v>45265</v>
      </c>
      <c r="C1000" t="s">
        <v>1012</v>
      </c>
      <c r="D1000" t="s">
        <v>13</v>
      </c>
      <c r="E1000">
        <v>36</v>
      </c>
      <c r="F1000" s="2" t="s">
        <v>16</v>
      </c>
      <c r="G1000">
        <v>3</v>
      </c>
      <c r="H1000">
        <v>50</v>
      </c>
      <c r="I1000">
        <v>150</v>
      </c>
    </row>
    <row r="1001" spans="1:9">
      <c r="A1001" s="2">
        <v>1000</v>
      </c>
      <c r="B1001" s="1">
        <v>45028</v>
      </c>
      <c r="C1001" t="s">
        <v>1013</v>
      </c>
      <c r="D1001" t="s">
        <v>10</v>
      </c>
      <c r="E1001">
        <v>47</v>
      </c>
      <c r="F1001" s="2" t="s">
        <v>16</v>
      </c>
      <c r="G1001">
        <v>4</v>
      </c>
      <c r="H1001">
        <v>30</v>
      </c>
      <c r="I1001">
        <v>120</v>
      </c>
    </row>
  </sheetData>
  <mergeCells count="12">
    <mergeCell ref="K2:P3"/>
    <mergeCell ref="K7:N7"/>
    <mergeCell ref="O7:P7"/>
    <mergeCell ref="K8:N8"/>
    <mergeCell ref="O8:P8"/>
    <mergeCell ref="K9:N9"/>
    <mergeCell ref="K4:N4"/>
    <mergeCell ref="K5:N5"/>
    <mergeCell ref="O4:P4"/>
    <mergeCell ref="O5:P5"/>
    <mergeCell ref="K6:N6"/>
    <mergeCell ref="O6:P6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Q44"/>
  <sheetViews>
    <sheetView topLeftCell="A14" workbookViewId="0">
      <selection activeCell="B22" sqref="B22:E25"/>
    </sheetView>
  </sheetViews>
  <sheetFormatPr defaultRowHeight="15"/>
  <cols>
    <col min="4" max="4" width="32.28515625" customWidth="1"/>
    <col min="17" max="17" width="13.42578125" customWidth="1"/>
  </cols>
  <sheetData>
    <row r="1" spans="1:17" ht="30.75" customHeight="1">
      <c r="A1" s="54" t="s">
        <v>1049</v>
      </c>
      <c r="B1" s="54"/>
      <c r="C1" s="54"/>
      <c r="D1" s="54"/>
      <c r="E1" s="54"/>
      <c r="F1" s="54"/>
      <c r="G1" s="54"/>
      <c r="J1" s="51"/>
      <c r="K1" s="51"/>
      <c r="L1" s="51"/>
      <c r="M1" s="51"/>
      <c r="N1" s="51"/>
      <c r="O1" s="51"/>
      <c r="P1" s="51"/>
      <c r="Q1" s="51"/>
    </row>
    <row r="2" spans="1:17" ht="21">
      <c r="A2" s="57" t="s">
        <v>1016</v>
      </c>
      <c r="B2" s="57"/>
      <c r="C2" s="57"/>
      <c r="D2" s="57"/>
      <c r="E2" s="56" t="s">
        <v>1039</v>
      </c>
      <c r="F2" s="56"/>
      <c r="G2" s="56"/>
    </row>
    <row r="3" spans="1:17" ht="18.75">
      <c r="A3" s="52" t="s">
        <v>1038</v>
      </c>
      <c r="B3" s="52"/>
      <c r="C3" s="52"/>
      <c r="D3" s="52"/>
      <c r="E3" s="55">
        <f>SUM('Cleaned Data'!J1:J1001)</f>
        <v>456000</v>
      </c>
      <c r="F3" s="53"/>
      <c r="G3" s="53"/>
    </row>
    <row r="4" spans="1:17" ht="18.75">
      <c r="A4" s="52" t="s">
        <v>1040</v>
      </c>
      <c r="B4" s="52"/>
      <c r="C4" s="52"/>
      <c r="D4" s="52"/>
      <c r="E4" s="55">
        <f>AVERAGE('Cleaned Data'!J1:J1001)</f>
        <v>456</v>
      </c>
      <c r="F4" s="53"/>
      <c r="G4" s="53"/>
    </row>
    <row r="5" spans="1:17" ht="18.75">
      <c r="A5" s="52" t="s">
        <v>1041</v>
      </c>
      <c r="B5" s="52"/>
      <c r="C5" s="52"/>
      <c r="D5" s="52"/>
      <c r="E5" s="55">
        <f>MIN('Cleaned Data'!J1:J1001)</f>
        <v>25</v>
      </c>
      <c r="F5" s="53"/>
      <c r="G5" s="53"/>
    </row>
    <row r="6" spans="1:17" ht="18.75">
      <c r="A6" s="52" t="s">
        <v>1042</v>
      </c>
      <c r="B6" s="52"/>
      <c r="C6" s="52"/>
      <c r="D6" s="52"/>
      <c r="E6" s="55">
        <f>MAX('Cleaned Data'!J1:J1001)</f>
        <v>2000</v>
      </c>
      <c r="F6" s="53"/>
      <c r="G6" s="53"/>
    </row>
    <row r="7" spans="1:17" ht="18.75">
      <c r="A7" s="52" t="s">
        <v>1043</v>
      </c>
      <c r="B7" s="52"/>
      <c r="C7" s="52"/>
      <c r="D7" s="52"/>
      <c r="E7" s="53">
        <f>SUM('Cleaned Data'!G1:G1001)</f>
        <v>2514</v>
      </c>
      <c r="F7" s="53"/>
      <c r="G7" s="53"/>
    </row>
    <row r="8" spans="1:17" ht="18.75">
      <c r="A8" s="52" t="s">
        <v>1044</v>
      </c>
      <c r="B8" s="52"/>
      <c r="C8" s="52"/>
      <c r="D8" s="52"/>
      <c r="E8" s="53">
        <f>AVERAGE('Cleaned Data'!E1:E1001)</f>
        <v>41.392000000000003</v>
      </c>
      <c r="F8" s="53"/>
      <c r="G8" s="53"/>
    </row>
    <row r="9" spans="1:17" ht="18.75">
      <c r="A9" s="52" t="s">
        <v>1045</v>
      </c>
      <c r="B9" s="52"/>
      <c r="C9" s="52"/>
      <c r="D9" s="52"/>
      <c r="E9" s="53">
        <f>MIN('Cleaned Data'!E1:E1001)</f>
        <v>18</v>
      </c>
      <c r="F9" s="53"/>
      <c r="G9" s="53"/>
    </row>
    <row r="10" spans="1:17" ht="18.75">
      <c r="A10" s="52" t="s">
        <v>1046</v>
      </c>
      <c r="B10" s="52"/>
      <c r="C10" s="52"/>
      <c r="D10" s="52"/>
      <c r="E10" s="53">
        <f>MAX('Cleaned Data'!E1:E1001)</f>
        <v>64</v>
      </c>
      <c r="F10" s="53"/>
      <c r="G10" s="53"/>
    </row>
    <row r="11" spans="1:17" ht="18.75">
      <c r="A11" s="52" t="s">
        <v>1047</v>
      </c>
      <c r="B11" s="52"/>
      <c r="C11" s="52"/>
      <c r="D11" s="52"/>
      <c r="E11" s="53">
        <f>COUNTA('Cleaned Data'!A1:A1001)</f>
        <v>1001</v>
      </c>
      <c r="F11" s="53"/>
      <c r="G11" s="53"/>
    </row>
    <row r="12" spans="1:17" ht="18.75">
      <c r="A12" s="52" t="s">
        <v>1048</v>
      </c>
      <c r="B12" s="52"/>
      <c r="C12" s="52"/>
      <c r="D12" s="52"/>
      <c r="E12" s="53">
        <f>SUMPRODUCT(1/COUNTIF('Cleaned Data'!F1:F1001,'Cleaned Data'!F1:F1001))</f>
        <v>3.9999999999999982</v>
      </c>
      <c r="F12" s="53"/>
      <c r="G12" s="53"/>
    </row>
    <row r="13" spans="1:17" ht="18.75">
      <c r="A13" s="21"/>
      <c r="B13" s="21"/>
      <c r="C13" s="21"/>
      <c r="D13" s="21"/>
      <c r="E13" s="20"/>
      <c r="F13" s="20"/>
      <c r="G13" s="20"/>
    </row>
    <row r="15" spans="1:17" ht="15" customHeight="1">
      <c r="B15" s="31" t="s">
        <v>1079</v>
      </c>
      <c r="C15" s="31"/>
      <c r="D15" s="31"/>
      <c r="E15" s="31"/>
      <c r="F15" s="31"/>
      <c r="G15" s="31"/>
    </row>
    <row r="16" spans="1:17" ht="28.5" customHeight="1">
      <c r="B16" s="31"/>
      <c r="C16" s="31"/>
      <c r="D16" s="31"/>
      <c r="E16" s="31"/>
      <c r="F16" s="31"/>
      <c r="G16" s="31"/>
    </row>
    <row r="18" spans="1:17" ht="15" customHeight="1">
      <c r="A18" s="32" t="s">
        <v>1068</v>
      </c>
      <c r="B18" s="32"/>
      <c r="C18" s="32"/>
      <c r="D18" s="32"/>
      <c r="E18" s="32"/>
      <c r="F18" s="32"/>
      <c r="G18" s="32"/>
    </row>
    <row r="19" spans="1:17" ht="15" customHeight="1">
      <c r="A19" s="32"/>
      <c r="B19" s="32"/>
      <c r="C19" s="32"/>
      <c r="D19" s="32"/>
      <c r="E19" s="32"/>
      <c r="F19" s="32"/>
      <c r="G19" s="32"/>
    </row>
    <row r="20" spans="1:17" ht="15" customHeight="1">
      <c r="A20" s="17"/>
      <c r="B20" s="17"/>
      <c r="C20" s="17"/>
      <c r="D20" s="17"/>
      <c r="E20" s="17"/>
      <c r="F20" s="17"/>
      <c r="G20" s="17"/>
    </row>
    <row r="21" spans="1:17" ht="18.75">
      <c r="A21" s="17"/>
      <c r="B21" s="33" t="s">
        <v>1069</v>
      </c>
      <c r="C21" s="33"/>
      <c r="D21" s="33"/>
      <c r="E21" s="33"/>
      <c r="F21" s="17"/>
      <c r="G21" s="17"/>
    </row>
    <row r="22" spans="1:17" ht="18.75">
      <c r="A22" s="17"/>
      <c r="B22" s="34" t="s">
        <v>1070</v>
      </c>
      <c r="C22" s="34"/>
      <c r="D22" s="35" t="s">
        <v>1071</v>
      </c>
      <c r="E22" s="36"/>
      <c r="F22" s="17"/>
      <c r="G22" s="17"/>
    </row>
    <row r="23" spans="1:17" ht="15.75">
      <c r="A23" s="17"/>
      <c r="B23" s="28" t="s">
        <v>11</v>
      </c>
      <c r="C23" s="28"/>
      <c r="D23" s="29">
        <f>SUMIF('Cleaned Data'!F1:F990,"Beauty",'Cleaned Data'!J1:J990)</f>
        <v>143275</v>
      </c>
      <c r="E23" s="30"/>
      <c r="F23" s="17"/>
      <c r="G23" s="17"/>
    </row>
    <row r="24" spans="1:17" ht="15.75">
      <c r="A24" s="17"/>
      <c r="B24" s="28" t="s">
        <v>14</v>
      </c>
      <c r="C24" s="28"/>
      <c r="D24" s="29">
        <f>SUMIF('Cleaned Data'!F1:F990,"Clothing",'Cleaned Data'!J1:J990)</f>
        <v>155465</v>
      </c>
      <c r="E24" s="30"/>
      <c r="F24" s="17"/>
      <c r="G24" s="17"/>
    </row>
    <row r="25" spans="1:17" ht="15.75">
      <c r="A25" s="17"/>
      <c r="B25" s="28" t="s">
        <v>16</v>
      </c>
      <c r="C25" s="28"/>
      <c r="D25" s="29">
        <f>SUMIF('Cleaned Data'!F1:F990,"Electronics",'Cleaned Data'!J1:J990)</f>
        <v>156805</v>
      </c>
      <c r="E25" s="30"/>
      <c r="F25" s="17"/>
      <c r="G25" s="17"/>
    </row>
    <row r="26" spans="1:17" ht="15.75">
      <c r="A26" s="18"/>
      <c r="B26" s="19"/>
      <c r="C26" s="19"/>
      <c r="D26" s="20"/>
      <c r="E26" s="20"/>
      <c r="F26" s="18"/>
      <c r="G26" s="18"/>
    </row>
    <row r="27" spans="1:17" ht="15.75">
      <c r="B27" s="16"/>
      <c r="C27" s="16"/>
    </row>
    <row r="28" spans="1:17" ht="15.75">
      <c r="A28" s="32" t="s">
        <v>1078</v>
      </c>
      <c r="B28" s="32"/>
      <c r="C28" s="32"/>
      <c r="D28" s="32"/>
      <c r="E28" s="32"/>
      <c r="F28" s="32"/>
      <c r="G28" s="32"/>
      <c r="K28" s="18"/>
      <c r="L28" s="19"/>
      <c r="M28" s="19"/>
      <c r="N28" s="20"/>
      <c r="O28" s="20"/>
      <c r="P28" s="20"/>
      <c r="Q28" s="18"/>
    </row>
    <row r="29" spans="1:17" ht="15.75">
      <c r="A29" s="32"/>
      <c r="B29" s="32"/>
      <c r="C29" s="32"/>
      <c r="D29" s="32"/>
      <c r="E29" s="32"/>
      <c r="F29" s="32"/>
      <c r="G29" s="32"/>
      <c r="K29" s="18"/>
      <c r="L29" s="19"/>
      <c r="M29" s="19"/>
      <c r="N29" s="20"/>
      <c r="O29" s="20"/>
      <c r="P29" s="20"/>
      <c r="Q29" s="18"/>
    </row>
    <row r="30" spans="1:17" ht="15.75">
      <c r="A30" s="17"/>
      <c r="B30" s="17"/>
      <c r="C30" s="17"/>
      <c r="D30" s="17"/>
      <c r="E30" s="17"/>
      <c r="F30" s="17"/>
      <c r="G30" s="17"/>
      <c r="K30" s="18"/>
      <c r="L30" s="19"/>
      <c r="M30" s="19"/>
      <c r="N30" s="20"/>
      <c r="O30" s="20"/>
      <c r="P30" s="20"/>
      <c r="Q30" s="18"/>
    </row>
    <row r="31" spans="1:17" ht="18.75">
      <c r="A31" s="17"/>
      <c r="B31" s="33" t="s">
        <v>1072</v>
      </c>
      <c r="C31" s="33"/>
      <c r="D31" s="33"/>
      <c r="E31" s="33"/>
      <c r="F31" s="17"/>
      <c r="G31" s="17"/>
      <c r="K31" s="18"/>
      <c r="L31" s="19"/>
      <c r="M31" s="19"/>
      <c r="N31" s="20"/>
      <c r="O31" s="20"/>
      <c r="P31" s="20"/>
      <c r="Q31" s="18"/>
    </row>
    <row r="32" spans="1:17" ht="18.75">
      <c r="A32" s="17"/>
      <c r="B32" s="34" t="s">
        <v>1070</v>
      </c>
      <c r="C32" s="34"/>
      <c r="D32" s="35" t="s">
        <v>1071</v>
      </c>
      <c r="E32" s="36"/>
      <c r="F32" s="17"/>
      <c r="G32" s="17"/>
      <c r="K32" s="18"/>
      <c r="L32" s="19"/>
      <c r="M32" s="19"/>
      <c r="N32" s="20"/>
      <c r="O32" s="20"/>
      <c r="P32" s="20"/>
      <c r="Q32" s="18"/>
    </row>
    <row r="33" spans="1:17" ht="15.75">
      <c r="A33" s="17"/>
      <c r="B33" s="28" t="s">
        <v>11</v>
      </c>
      <c r="C33" s="28"/>
      <c r="D33" s="29">
        <f>SUMIF('Cleaned Data'!F1:F990,"Beauty",'Cleaned Data'!G1:G990)</f>
        <v>764</v>
      </c>
      <c r="E33" s="30"/>
      <c r="F33" s="17"/>
      <c r="G33" s="17"/>
      <c r="K33" s="18"/>
      <c r="L33" s="19"/>
      <c r="M33" s="19"/>
      <c r="N33" s="20"/>
      <c r="O33" s="20"/>
      <c r="P33" s="20"/>
      <c r="Q33" s="18"/>
    </row>
    <row r="34" spans="1:17" ht="15.75">
      <c r="A34" s="17"/>
      <c r="B34" s="28" t="s">
        <v>14</v>
      </c>
      <c r="C34" s="28"/>
      <c r="D34" s="29">
        <f>SUMIF('Cleaned Data'!F1:F990,"Clothing",'Cleaned Data'!G1:G990)</f>
        <v>890</v>
      </c>
      <c r="E34" s="30"/>
      <c r="F34" s="17"/>
      <c r="G34" s="17"/>
    </row>
    <row r="35" spans="1:17" ht="15.75">
      <c r="A35" s="17"/>
      <c r="B35" s="28" t="s">
        <v>16</v>
      </c>
      <c r="C35" s="28"/>
      <c r="D35" s="29">
        <f>SUMIF('Cleaned Data'!F1:F990,"Electronics",'Cleaned Data'!G1:G990)</f>
        <v>845</v>
      </c>
      <c r="E35" s="30"/>
      <c r="F35" s="17"/>
      <c r="G35" s="17"/>
    </row>
    <row r="36" spans="1:17" ht="15.75">
      <c r="A36" s="18"/>
      <c r="B36" s="19"/>
      <c r="C36" s="19"/>
      <c r="D36" s="20"/>
      <c r="E36" s="20"/>
      <c r="F36" s="18"/>
      <c r="G36" s="18"/>
    </row>
    <row r="37" spans="1:17" ht="15" customHeight="1">
      <c r="A37" s="37" t="s">
        <v>1073</v>
      </c>
      <c r="B37" s="38"/>
      <c r="C37" s="38"/>
      <c r="D37" s="38"/>
      <c r="E37" s="38"/>
      <c r="F37" s="38"/>
      <c r="G37" s="39"/>
    </row>
    <row r="38" spans="1:17" ht="15" customHeight="1">
      <c r="A38" s="40"/>
      <c r="B38" s="41"/>
      <c r="C38" s="41"/>
      <c r="D38" s="41"/>
      <c r="E38" s="41"/>
      <c r="F38" s="41"/>
      <c r="G38" s="42"/>
    </row>
    <row r="39" spans="1:17">
      <c r="A39" s="17"/>
      <c r="B39" s="17"/>
      <c r="C39" s="17"/>
      <c r="D39" s="17"/>
      <c r="E39" s="17"/>
      <c r="F39" s="17"/>
      <c r="G39" s="17"/>
    </row>
    <row r="40" spans="1:17" ht="18.75">
      <c r="A40" s="17"/>
      <c r="B40" s="43" t="s">
        <v>1074</v>
      </c>
      <c r="C40" s="44"/>
      <c r="D40" s="44"/>
      <c r="E40" s="45"/>
      <c r="F40" s="17"/>
      <c r="G40" s="17"/>
    </row>
    <row r="41" spans="1:17" ht="18.75">
      <c r="A41" s="17"/>
      <c r="B41" s="46" t="s">
        <v>1075</v>
      </c>
      <c r="C41" s="47"/>
      <c r="D41" s="35" t="s">
        <v>1071</v>
      </c>
      <c r="E41" s="48"/>
      <c r="F41" s="17"/>
      <c r="G41" s="17"/>
    </row>
    <row r="42" spans="1:17" ht="15.75">
      <c r="A42" s="17"/>
      <c r="B42" s="49" t="s">
        <v>1076</v>
      </c>
      <c r="C42" s="50"/>
      <c r="D42" s="29">
        <f>SUMIF('Cleaned Data'!D1:D990,"Male",'Cleaned Data'!J1:J990)</f>
        <v>223010</v>
      </c>
      <c r="E42" s="30"/>
      <c r="F42" s="17"/>
      <c r="G42" s="17"/>
    </row>
    <row r="43" spans="1:17" ht="15.75">
      <c r="A43" s="17"/>
      <c r="B43" s="28" t="s">
        <v>1077</v>
      </c>
      <c r="C43" s="28"/>
      <c r="D43" s="29">
        <f>SUMIF('Cleaned Data'!D1:D990,"Female",'Cleaned Data'!J1:J990)</f>
        <v>232535</v>
      </c>
      <c r="E43" s="30"/>
      <c r="F43" s="17"/>
      <c r="G43" s="17"/>
    </row>
    <row r="44" spans="1:17" ht="15.75">
      <c r="A44" s="17"/>
      <c r="B44" s="28"/>
      <c r="C44" s="28"/>
      <c r="D44" s="29"/>
      <c r="E44" s="30"/>
      <c r="F44" s="17"/>
      <c r="G44" s="17"/>
    </row>
  </sheetData>
  <mergeCells count="55">
    <mergeCell ref="E2:G2"/>
    <mergeCell ref="E3:G3"/>
    <mergeCell ref="A3:D3"/>
    <mergeCell ref="A2:D2"/>
    <mergeCell ref="A4:D4"/>
    <mergeCell ref="E4:G4"/>
    <mergeCell ref="E10:G10"/>
    <mergeCell ref="A5:D5"/>
    <mergeCell ref="E5:G5"/>
    <mergeCell ref="A6:D6"/>
    <mergeCell ref="E6:G6"/>
    <mergeCell ref="A7:D7"/>
    <mergeCell ref="E7:G7"/>
    <mergeCell ref="D25:E25"/>
    <mergeCell ref="J1:Q1"/>
    <mergeCell ref="A18:G19"/>
    <mergeCell ref="B21:E21"/>
    <mergeCell ref="B22:C22"/>
    <mergeCell ref="B23:C23"/>
    <mergeCell ref="A11:D11"/>
    <mergeCell ref="A12:D12"/>
    <mergeCell ref="E11:G11"/>
    <mergeCell ref="E12:G12"/>
    <mergeCell ref="A1:G1"/>
    <mergeCell ref="A8:D8"/>
    <mergeCell ref="E8:G8"/>
    <mergeCell ref="A9:D9"/>
    <mergeCell ref="E9:G9"/>
    <mergeCell ref="A10:D10"/>
    <mergeCell ref="B43:C43"/>
    <mergeCell ref="D43:E43"/>
    <mergeCell ref="B44:C44"/>
    <mergeCell ref="D44:E44"/>
    <mergeCell ref="A37:G38"/>
    <mergeCell ref="B40:E40"/>
    <mergeCell ref="B41:C41"/>
    <mergeCell ref="D41:E41"/>
    <mergeCell ref="B42:C42"/>
    <mergeCell ref="D42:E42"/>
    <mergeCell ref="B34:C34"/>
    <mergeCell ref="D34:E34"/>
    <mergeCell ref="B35:C35"/>
    <mergeCell ref="D35:E35"/>
    <mergeCell ref="B15:G16"/>
    <mergeCell ref="A28:G29"/>
    <mergeCell ref="B31:E31"/>
    <mergeCell ref="B32:C32"/>
    <mergeCell ref="D32:E32"/>
    <mergeCell ref="B33:C33"/>
    <mergeCell ref="D33:E33"/>
    <mergeCell ref="B24:C24"/>
    <mergeCell ref="B25:C25"/>
    <mergeCell ref="D22:E22"/>
    <mergeCell ref="D23:E23"/>
    <mergeCell ref="D24:E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D2:R133"/>
  <sheetViews>
    <sheetView topLeftCell="D2" workbookViewId="0">
      <selection activeCell="P144" sqref="P144"/>
    </sheetView>
  </sheetViews>
  <sheetFormatPr defaultRowHeight="15"/>
  <cols>
    <col min="4" max="4" width="13.140625" bestFit="1" customWidth="1"/>
    <col min="10" max="10" width="17" customWidth="1"/>
    <col min="17" max="17" width="11" customWidth="1"/>
  </cols>
  <sheetData>
    <row r="2" spans="4:17">
      <c r="D2" s="60" t="s">
        <v>1050</v>
      </c>
      <c r="E2" s="60"/>
      <c r="F2" s="60"/>
      <c r="G2" s="60"/>
      <c r="H2" s="60"/>
      <c r="I2" s="60"/>
      <c r="J2" s="60"/>
    </row>
    <row r="3" spans="4:17">
      <c r="D3" s="60"/>
      <c r="E3" s="60"/>
      <c r="F3" s="60"/>
      <c r="G3" s="60"/>
      <c r="H3" s="60"/>
      <c r="I3" s="60"/>
      <c r="J3" s="60"/>
    </row>
    <row r="4" spans="4:17">
      <c r="D4" s="60"/>
      <c r="E4" s="60"/>
      <c r="F4" s="60"/>
      <c r="G4" s="60"/>
      <c r="H4" s="60"/>
      <c r="I4" s="60"/>
      <c r="J4" s="60"/>
    </row>
    <row r="6" spans="4:17" ht="26.25">
      <c r="D6" s="11" t="s">
        <v>1052</v>
      </c>
      <c r="E6" s="60" t="s">
        <v>1051</v>
      </c>
      <c r="F6" s="60"/>
      <c r="G6" s="60"/>
      <c r="H6" s="60"/>
      <c r="I6" s="60"/>
      <c r="J6" s="60"/>
      <c r="K6" s="60"/>
      <c r="L6" s="60"/>
      <c r="M6" s="14" t="s">
        <v>1058</v>
      </c>
      <c r="N6" s="14"/>
      <c r="O6" s="14"/>
      <c r="P6" s="14"/>
      <c r="Q6" s="14"/>
    </row>
    <row r="30" spans="4:17" ht="26.25">
      <c r="D30" s="11" t="s">
        <v>1053</v>
      </c>
      <c r="E30" s="60" t="s">
        <v>1054</v>
      </c>
      <c r="F30" s="60"/>
      <c r="G30" s="60"/>
      <c r="H30" s="60"/>
      <c r="I30" s="60"/>
      <c r="J30" s="60"/>
      <c r="K30" s="60"/>
      <c r="L30" s="60"/>
      <c r="M30" s="13" t="s">
        <v>1058</v>
      </c>
      <c r="N30" s="13"/>
      <c r="O30" s="13"/>
      <c r="P30" s="13"/>
      <c r="Q30" s="13"/>
    </row>
    <row r="56" spans="4:17" ht="23.25">
      <c r="D56" s="12" t="s">
        <v>1055</v>
      </c>
      <c r="E56" s="58" t="s">
        <v>1056</v>
      </c>
      <c r="F56" s="58"/>
      <c r="G56" s="58"/>
      <c r="H56" s="58"/>
      <c r="I56" s="58"/>
      <c r="J56" s="58"/>
      <c r="K56" s="58"/>
      <c r="L56" s="58"/>
      <c r="M56" s="58"/>
      <c r="N56" s="59" t="s">
        <v>1057</v>
      </c>
      <c r="O56" s="59"/>
      <c r="P56" s="59"/>
      <c r="Q56" s="59"/>
    </row>
    <row r="81" spans="4:18" ht="26.25">
      <c r="D81" s="11" t="s">
        <v>1059</v>
      </c>
      <c r="E81" s="60" t="s">
        <v>1060</v>
      </c>
      <c r="F81" s="60"/>
      <c r="G81" s="60"/>
      <c r="H81" s="60"/>
      <c r="I81" s="60"/>
      <c r="J81" s="60"/>
      <c r="K81" s="60"/>
      <c r="L81" s="60"/>
      <c r="M81" s="60"/>
      <c r="N81" s="27" t="s">
        <v>1061</v>
      </c>
      <c r="O81" s="27"/>
      <c r="P81" s="27"/>
      <c r="Q81" s="27"/>
      <c r="R81" s="27"/>
    </row>
    <row r="106" spans="4:18" ht="23.25">
      <c r="D106" s="15" t="s">
        <v>1062</v>
      </c>
      <c r="E106" s="58" t="s">
        <v>1063</v>
      </c>
      <c r="F106" s="58"/>
      <c r="G106" s="58"/>
      <c r="H106" s="58"/>
      <c r="I106" s="58"/>
      <c r="J106" s="58"/>
      <c r="K106" s="58"/>
      <c r="L106" s="58"/>
      <c r="M106" s="58"/>
      <c r="N106" s="25" t="s">
        <v>1064</v>
      </c>
      <c r="O106" s="25"/>
      <c r="P106" s="25"/>
      <c r="Q106" s="25"/>
      <c r="R106" s="25"/>
    </row>
    <row r="133" spans="4:18" ht="23.25">
      <c r="D133" s="12" t="s">
        <v>1065</v>
      </c>
      <c r="E133" s="58" t="s">
        <v>1066</v>
      </c>
      <c r="F133" s="58"/>
      <c r="G133" s="58"/>
      <c r="H133" s="58"/>
      <c r="I133" s="58"/>
      <c r="J133" s="58"/>
      <c r="K133" s="58"/>
      <c r="L133" s="58"/>
      <c r="M133" s="58"/>
      <c r="N133" s="25" t="s">
        <v>1067</v>
      </c>
      <c r="O133" s="25"/>
      <c r="P133" s="25"/>
      <c r="Q133" s="25"/>
      <c r="R133" s="25"/>
    </row>
  </sheetData>
  <mergeCells count="11">
    <mergeCell ref="D2:J4"/>
    <mergeCell ref="E6:L6"/>
    <mergeCell ref="E30:L30"/>
    <mergeCell ref="E133:M133"/>
    <mergeCell ref="N133:R133"/>
    <mergeCell ref="E56:M56"/>
    <mergeCell ref="N56:Q56"/>
    <mergeCell ref="E81:M81"/>
    <mergeCell ref="N81:R81"/>
    <mergeCell ref="E106:M106"/>
    <mergeCell ref="N106:R10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C1:J45"/>
  <sheetViews>
    <sheetView topLeftCell="A20" workbookViewId="0">
      <selection activeCell="D47" sqref="D47"/>
    </sheetView>
  </sheetViews>
  <sheetFormatPr defaultRowHeight="15"/>
  <sheetData>
    <row r="1" spans="3:10">
      <c r="D1" s="61" t="s">
        <v>1081</v>
      </c>
      <c r="E1" s="61"/>
      <c r="F1" s="61"/>
      <c r="G1" s="61"/>
      <c r="H1" s="61"/>
      <c r="I1" s="61"/>
    </row>
    <row r="2" spans="3:10">
      <c r="D2" s="61"/>
      <c r="E2" s="61"/>
      <c r="F2" s="61"/>
      <c r="G2" s="61"/>
      <c r="H2" s="61"/>
      <c r="I2" s="61"/>
    </row>
    <row r="3" spans="3:10">
      <c r="D3" s="61"/>
      <c r="E3" s="61"/>
      <c r="F3" s="61"/>
      <c r="G3" s="61"/>
      <c r="H3" s="61"/>
      <c r="I3" s="61"/>
    </row>
    <row r="4" spans="3:10">
      <c r="D4" s="61"/>
      <c r="E4" s="61"/>
      <c r="F4" s="61"/>
      <c r="G4" s="61"/>
      <c r="H4" s="61"/>
      <c r="I4" s="61"/>
    </row>
    <row r="5" spans="3:10">
      <c r="D5" s="61"/>
      <c r="E5" s="61"/>
      <c r="F5" s="61"/>
      <c r="G5" s="61"/>
      <c r="H5" s="61"/>
      <c r="I5" s="61"/>
    </row>
    <row r="8" spans="3:10" ht="21">
      <c r="C8" s="62" t="s">
        <v>1080</v>
      </c>
      <c r="D8" s="62"/>
      <c r="E8" s="62"/>
      <c r="F8" s="62"/>
      <c r="G8" s="62"/>
      <c r="H8" s="62"/>
      <c r="I8" s="62"/>
      <c r="J8" s="62"/>
    </row>
    <row r="26" spans="3:10" ht="21">
      <c r="C26" s="62" t="s">
        <v>1082</v>
      </c>
      <c r="D26" s="62"/>
      <c r="E26" s="62"/>
      <c r="F26" s="62"/>
      <c r="G26" s="62"/>
      <c r="H26" s="62"/>
      <c r="I26" s="62"/>
      <c r="J26" s="62"/>
    </row>
    <row r="45" spans="3:10" ht="21">
      <c r="C45" s="63" t="s">
        <v>1083</v>
      </c>
      <c r="D45" s="63"/>
      <c r="E45" s="63"/>
      <c r="F45" s="63"/>
      <c r="G45" s="63"/>
      <c r="H45" s="63"/>
      <c r="I45" s="63"/>
      <c r="J45" s="63"/>
    </row>
  </sheetData>
  <mergeCells count="4">
    <mergeCell ref="D1:I5"/>
    <mergeCell ref="C8:J8"/>
    <mergeCell ref="C26:J26"/>
    <mergeCell ref="C45:J45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B1:J10"/>
  <sheetViews>
    <sheetView workbookViewId="0">
      <selection activeCell="J15" sqref="J15"/>
    </sheetView>
  </sheetViews>
  <sheetFormatPr defaultRowHeight="15"/>
  <cols>
    <col min="10" max="10" width="27.7109375" customWidth="1"/>
    <col min="13" max="13" width="9.140625" customWidth="1"/>
  </cols>
  <sheetData>
    <row r="1" spans="2:10" ht="15" customHeight="1">
      <c r="B1" s="64" t="s">
        <v>1084</v>
      </c>
      <c r="C1" s="64"/>
      <c r="D1" s="64"/>
      <c r="E1" s="64"/>
      <c r="F1" s="64"/>
      <c r="G1" s="64"/>
      <c r="H1" s="64"/>
      <c r="I1" s="64"/>
      <c r="J1" s="64"/>
    </row>
    <row r="2" spans="2:10" ht="15" customHeight="1">
      <c r="B2" s="64"/>
      <c r="C2" s="64"/>
      <c r="D2" s="64"/>
      <c r="E2" s="64"/>
      <c r="F2" s="64"/>
      <c r="G2" s="64"/>
      <c r="H2" s="64"/>
      <c r="I2" s="64"/>
      <c r="J2" s="64"/>
    </row>
    <row r="3" spans="2:10" ht="15" customHeight="1">
      <c r="B3" s="64"/>
      <c r="C3" s="64"/>
      <c r="D3" s="64"/>
      <c r="E3" s="64"/>
      <c r="F3" s="64"/>
      <c r="G3" s="64"/>
      <c r="H3" s="64"/>
      <c r="I3" s="64"/>
      <c r="J3" s="64"/>
    </row>
    <row r="4" spans="2:10" ht="18.75">
      <c r="B4" s="65">
        <v>1</v>
      </c>
      <c r="C4" s="66" t="s">
        <v>1085</v>
      </c>
      <c r="D4" s="66"/>
      <c r="E4" s="66"/>
      <c r="F4" s="66"/>
      <c r="G4" s="66"/>
      <c r="H4" s="66"/>
      <c r="I4" s="66"/>
      <c r="J4" s="66"/>
    </row>
    <row r="5" spans="2:10" ht="18.75">
      <c r="B5" s="65">
        <v>2</v>
      </c>
      <c r="C5" s="66" t="s">
        <v>1086</v>
      </c>
      <c r="D5" s="66"/>
      <c r="E5" s="66"/>
      <c r="F5" s="66"/>
      <c r="G5" s="66"/>
      <c r="H5" s="66"/>
      <c r="I5" s="66"/>
      <c r="J5" s="66"/>
    </row>
    <row r="6" spans="2:10" ht="18.75">
      <c r="B6" s="65">
        <v>3</v>
      </c>
      <c r="C6" s="67" t="s">
        <v>1087</v>
      </c>
      <c r="D6" s="67"/>
      <c r="E6" s="67"/>
      <c r="F6" s="67"/>
      <c r="G6" s="67"/>
      <c r="H6" s="67"/>
      <c r="I6" s="67"/>
      <c r="J6" s="67"/>
    </row>
    <row r="7" spans="2:10" ht="18.75">
      <c r="B7" s="65">
        <v>4</v>
      </c>
      <c r="C7" s="67" t="s">
        <v>1088</v>
      </c>
      <c r="D7" s="67"/>
      <c r="E7" s="67"/>
      <c r="F7" s="67"/>
      <c r="G7" s="67"/>
      <c r="H7" s="67"/>
      <c r="I7" s="67"/>
      <c r="J7" s="67"/>
    </row>
    <row r="8" spans="2:10" ht="18.75">
      <c r="B8" s="65">
        <v>5</v>
      </c>
      <c r="C8" s="66" t="s">
        <v>1089</v>
      </c>
      <c r="D8" s="66"/>
      <c r="E8" s="66"/>
      <c r="F8" s="66"/>
      <c r="G8" s="66"/>
      <c r="H8" s="66"/>
      <c r="I8" s="66"/>
      <c r="J8" s="66"/>
    </row>
    <row r="9" spans="2:10" ht="18.75">
      <c r="B9" s="65">
        <v>6</v>
      </c>
      <c r="C9" s="66" t="s">
        <v>1090</v>
      </c>
      <c r="D9" s="66"/>
      <c r="E9" s="66"/>
      <c r="F9" s="66"/>
      <c r="G9" s="66"/>
      <c r="H9" s="66"/>
      <c r="I9" s="66"/>
      <c r="J9" s="66"/>
    </row>
    <row r="10" spans="2:10" ht="18.75">
      <c r="B10" s="65">
        <v>7</v>
      </c>
      <c r="C10" s="66" t="s">
        <v>1091</v>
      </c>
      <c r="D10" s="66"/>
      <c r="E10" s="66"/>
      <c r="F10" s="66"/>
      <c r="G10" s="66"/>
      <c r="H10" s="66"/>
      <c r="I10" s="66"/>
      <c r="J10" s="66"/>
    </row>
  </sheetData>
  <mergeCells count="8">
    <mergeCell ref="C4:J4"/>
    <mergeCell ref="C5:J5"/>
    <mergeCell ref="C6:J6"/>
    <mergeCell ref="C7:J7"/>
    <mergeCell ref="C8:J8"/>
    <mergeCell ref="C9:J9"/>
    <mergeCell ref="C10:J10"/>
    <mergeCell ref="B1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retail_sales_dataset</vt:lpstr>
      <vt:lpstr>Dataset Understanding</vt:lpstr>
      <vt:lpstr>Cleaned Data</vt:lpstr>
      <vt:lpstr>Data Quality Check</vt:lpstr>
      <vt:lpstr>Basic Analysis</vt:lpstr>
      <vt:lpstr>sorting filter screenshort</vt:lpstr>
      <vt:lpstr>Charts</vt:lpstr>
      <vt:lpstr>Observation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Decent computers</dc:creator>
  <cp:lastModifiedBy>Decent computers</cp:lastModifiedBy>
  <dcterms:created xsi:type="dcterms:W3CDTF">2026-06-29T01:18:34Z</dcterms:created>
  <dcterms:modified xsi:type="dcterms:W3CDTF">2026-06-30T17:13:24Z</dcterms:modified>
</cp:coreProperties>
</file>